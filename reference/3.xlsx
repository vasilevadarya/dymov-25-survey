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Финальная анкета" sheetId="1" state="visible" r:id="rId1"/>
    <sheet xmlns:r="http://schemas.openxmlformats.org/officeDocument/2006/relationships" name="Сводка" sheetId="2" state="visible" r:id="rId2"/>
    <sheet xmlns:r="http://schemas.openxmlformats.org/officeDocument/2006/relationships" name="Удалено" sheetId="3" state="visible" r:id="rId3"/>
  </sheets>
  <definedNames>
    <definedName name="_xlnm._FilterDatabase" localSheetId="0" hidden="1">'Финальная анкета'!$A$5:$J$106</definedName>
    <definedName name="_xlnm._FilterDatabase" localSheetId="2" hidden="1">'Удалено'!$A$3:$E$43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1F1F1F"/>
      <sz val="10"/>
    </font>
    <font>
      <i val="1"/>
      <color rgb="001F1F1F"/>
      <sz val="9"/>
    </font>
    <font>
      <b val="1"/>
      <color rgb="00FFFFFF"/>
    </font>
    <font>
      <b val="1"/>
      <color rgb="00000000"/>
    </font>
    <font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D9EAF7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B8C6D1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top" wrapText="1"/>
    </xf>
    <xf numFmtId="0" fontId="6" fillId="5" borderId="1" applyAlignment="1" pivotButton="0" quotePrefix="0" xfId="0">
      <alignment horizontal="center" vertical="top" wrapText="1"/>
    </xf>
    <xf numFmtId="0" fontId="6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top" wrapText="1"/>
    </xf>
    <xf numFmtId="0" fontId="6" fillId="4" borderId="1" applyAlignment="1" pivotButton="0" quotePrefix="0" xfId="0">
      <alignment horizontal="center" vertical="top" wrapText="1"/>
    </xf>
    <xf numFmtId="0" fontId="6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top" wrapText="1"/>
    </xf>
    <xf numFmtId="0" fontId="6" fillId="3" borderId="1" applyAlignment="1" pivotButton="0" quotePrefix="0" xfId="0">
      <alignment horizontal="center" vertical="top" wrapText="1"/>
    </xf>
    <xf numFmtId="0" fontId="6" fillId="3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center"/>
    </xf>
    <xf numFmtId="0" fontId="7" fillId="3" borderId="0" applyAlignment="1" pivotButton="0" quotePrefix="0" xfId="0">
      <alignment wrapText="1"/>
    </xf>
    <xf numFmtId="0" fontId="4" fillId="2" borderId="0" applyAlignment="1" pivotButton="0" quotePrefix="0" xfId="0">
      <alignment horizontal="center" wrapText="1"/>
    </xf>
    <xf numFmtId="0" fontId="0" fillId="5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4" fillId="2" borderId="0" applyAlignment="1" pivotButton="0" quotePrefix="0" xfId="0">
      <alignment wrapText="1"/>
    </xf>
    <xf numFmtId="0" fontId="7" fillId="4" borderId="0" applyAlignment="1" pivotButton="0" quotePrefix="0" xfId="0">
      <alignment wrapText="1"/>
    </xf>
    <xf numFmtId="0" fontId="0" fillId="3" borderId="0" applyAlignment="1" pivotButton="0" quotePrefix="0" xfId="0">
      <alignment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28" customWidth="1" min="3" max="3"/>
    <col width="24" customWidth="1" min="4" max="4"/>
    <col width="72" customWidth="1" min="5" max="5"/>
    <col width="23" customWidth="1" min="6" max="6"/>
    <col width="85" customWidth="1" min="7" max="7"/>
    <col width="14" customWidth="1" min="8" max="8"/>
    <col width="46" customWidth="1" min="9" max="9"/>
    <col width="22" customWidth="1" min="10" max="10"/>
  </cols>
  <sheetData>
    <row r="1" ht="30" customHeight="1">
      <c r="A1" s="1" t="inlineStr">
        <is>
          <t>ДЫМОВ 25. 100 ШАГОВ НА ПУТИ К УСПЕХУ — ОФИС / ФИНАЛЬНАЯ ВЕРСИЯ</t>
        </is>
      </c>
    </row>
    <row r="2" ht="32" customHeight="1">
      <c r="A2" s="2" t="inlineStr">
        <is>
          <t>Ровно 100 определений вопросов. Корпоративный блок сохранён полностью. Добавлены площадка, ИИ и финальные вопросы доверия. Ориентир для сайта: около 25 минут.</t>
        </is>
      </c>
    </row>
    <row r="3" ht="30" customHeight="1">
      <c r="A3" s="3" t="inlineStr">
        <is>
          <t>Важно: вопрос о городе/площадке используется только для агрегированного анализа; отдельные срезы по малым группам не публиковать. Рекомендуемый порог анонимности — не менее 10 ответов на группу.</t>
        </is>
      </c>
    </row>
    <row r="5" ht="32" customHeight="1">
      <c r="A5" s="4" t="inlineStr">
        <is>
          <t>№</t>
        </is>
      </c>
      <c r="B5" s="4" t="inlineStr">
        <is>
          <t>ID сайта</t>
        </is>
      </c>
      <c r="C5" s="4" t="inlineStr">
        <is>
          <t>Блок</t>
        </is>
      </c>
      <c r="D5" s="4" t="inlineStr">
        <is>
          <t>Подблок</t>
        </is>
      </c>
      <c r="E5" s="4" t="inlineStr">
        <is>
          <t>Вопрос</t>
        </is>
      </c>
      <c r="F5" s="4" t="inlineStr">
        <is>
          <t>Тип ответа</t>
        </is>
      </c>
      <c r="G5" s="4" t="inlineStr">
        <is>
          <t>Варианты ответа</t>
        </is>
      </c>
      <c r="H5" s="4" t="inlineStr">
        <is>
          <t>Обязательный</t>
        </is>
      </c>
      <c r="I5" s="4" t="inlineStr">
        <is>
          <t>Условие показа</t>
        </is>
      </c>
      <c r="J5" s="4" t="inlineStr">
        <is>
          <t>Исходный Q / статус</t>
        </is>
      </c>
    </row>
    <row r="6" ht="30" customHeight="1">
      <c r="A6" s="5" t="n">
        <v>1</v>
      </c>
      <c r="B6" s="6" t="inlineStr">
        <is>
          <t>OFF_Q001</t>
        </is>
      </c>
      <c r="C6" s="7" t="inlineStr">
        <is>
          <t>eNPS</t>
        </is>
      </c>
      <c r="D6" s="7" t="inlineStr"/>
      <c r="E6" s="8" t="inlineStr">
        <is>
          <t>Насколько вероятно, что вы порекомендуете «Дымов» знакомому как хорошее место работы?</t>
        </is>
      </c>
      <c r="F6" s="7" t="inlineStr">
        <is>
          <t>Шкала 0–10</t>
        </is>
      </c>
      <c r="G6" s="7" t="inlineStr">
        <is>
          <t>0; 1; 2; 3; 4; 5; 6; 7; 8; 9; 10</t>
        </is>
      </c>
      <c r="H6" s="6" t="inlineStr">
        <is>
          <t>Да</t>
        </is>
      </c>
      <c r="I6" s="7" t="inlineStr">
        <is>
          <t>Всем</t>
        </is>
      </c>
      <c r="J6" s="7" t="inlineStr">
        <is>
          <t>1 / Сохранён</t>
        </is>
      </c>
    </row>
    <row r="7" ht="30" customHeight="1">
      <c r="A7" s="5" t="n">
        <v>2</v>
      </c>
      <c r="B7" s="6" t="inlineStr">
        <is>
          <t>OFF_Q002</t>
        </is>
      </c>
      <c r="C7" s="7" t="inlineStr">
        <is>
          <t>Вовлечённость</t>
        </is>
      </c>
      <c r="D7" s="7" t="inlineStr"/>
      <c r="E7" s="8" t="inlineStr">
        <is>
          <t>Я понимаю, какого результата от меня ожидают.</t>
        </is>
      </c>
      <c r="F7" s="7" t="inlineStr">
        <is>
          <t>Шкала 1–5</t>
        </is>
      </c>
      <c r="G7" s="7" t="inlineStr">
        <is>
          <t>1 — полностью не согласен; 5 — полностью согласен</t>
        </is>
      </c>
      <c r="H7" s="6" t="inlineStr">
        <is>
          <t>Да</t>
        </is>
      </c>
      <c r="I7" s="7" t="inlineStr">
        <is>
          <t>Всем</t>
        </is>
      </c>
      <c r="J7" s="7" t="inlineStr">
        <is>
          <t>2 / Сохранён</t>
        </is>
      </c>
    </row>
    <row r="8" ht="30" customHeight="1">
      <c r="A8" s="5" t="n">
        <v>3</v>
      </c>
      <c r="B8" s="6" t="inlineStr">
        <is>
          <t>OFF_Q003</t>
        </is>
      </c>
      <c r="C8" s="7" t="inlineStr">
        <is>
          <t>Вовлечённость</t>
        </is>
      </c>
      <c r="D8" s="7" t="inlineStr"/>
      <c r="E8" s="8" t="inlineStr">
        <is>
          <t>Я понимаю, как моя работа влияет на общий результат компании.</t>
        </is>
      </c>
      <c r="F8" s="7" t="inlineStr">
        <is>
          <t>Шкала 1–5</t>
        </is>
      </c>
      <c r="G8" s="7" t="inlineStr">
        <is>
          <t>1 — полностью не согласен; 5 — полностью согласен</t>
        </is>
      </c>
      <c r="H8" s="6" t="inlineStr">
        <is>
          <t>Да</t>
        </is>
      </c>
      <c r="I8" s="7" t="inlineStr">
        <is>
          <t>Всем</t>
        </is>
      </c>
      <c r="J8" s="7" t="inlineStr">
        <is>
          <t>3 / Сохранён</t>
        </is>
      </c>
    </row>
    <row r="9" ht="30" customHeight="1">
      <c r="A9" s="5" t="n">
        <v>4</v>
      </c>
      <c r="B9" s="6" t="inlineStr">
        <is>
          <t>OFF_Q006</t>
        </is>
      </c>
      <c r="C9" s="7" t="inlineStr">
        <is>
          <t>Вовлечённость</t>
        </is>
      </c>
      <c r="D9" s="7" t="inlineStr"/>
      <c r="E9" s="8" t="inlineStr">
        <is>
          <t>Я могу проявлять инициативу и предлагать новые решения.</t>
        </is>
      </c>
      <c r="F9" s="7" t="inlineStr">
        <is>
          <t>Шкала 1–5</t>
        </is>
      </c>
      <c r="G9" s="7" t="inlineStr">
        <is>
          <t>1 — полностью не согласен; 5 — полностью согласен</t>
        </is>
      </c>
      <c r="H9" s="6" t="inlineStr">
        <is>
          <t>Да</t>
        </is>
      </c>
      <c r="I9" s="7" t="inlineStr">
        <is>
          <t>Всем</t>
        </is>
      </c>
      <c r="J9" s="7" t="inlineStr">
        <is>
          <t>6 / Сохранён</t>
        </is>
      </c>
    </row>
    <row r="10" ht="30" customHeight="1">
      <c r="A10" s="5" t="n">
        <v>5</v>
      </c>
      <c r="B10" s="6" t="inlineStr">
        <is>
          <t>OFF_Q007</t>
        </is>
      </c>
      <c r="C10" s="7" t="inlineStr">
        <is>
          <t>Вовлечённость</t>
        </is>
      </c>
      <c r="D10" s="7" t="inlineStr"/>
      <c r="E10" s="8" t="inlineStr">
        <is>
          <t>Я горжусь тем, что работаю в «Дымов».</t>
        </is>
      </c>
      <c r="F10" s="7" t="inlineStr">
        <is>
          <t>Шкала 1–5</t>
        </is>
      </c>
      <c r="G10" s="7" t="inlineStr">
        <is>
          <t>1 — полностью не согласен; 5 — полностью согласен</t>
        </is>
      </c>
      <c r="H10" s="6" t="inlineStr">
        <is>
          <t>Да</t>
        </is>
      </c>
      <c r="I10" s="7" t="inlineStr">
        <is>
          <t>Всем</t>
        </is>
      </c>
      <c r="J10" s="7" t="inlineStr">
        <is>
          <t>7 / Сохранён</t>
        </is>
      </c>
    </row>
    <row r="11" ht="30" customHeight="1">
      <c r="A11" s="5" t="n">
        <v>6</v>
      </c>
      <c r="B11" s="6" t="inlineStr">
        <is>
          <t>OFF_Q008</t>
        </is>
      </c>
      <c r="C11" s="7" t="inlineStr">
        <is>
          <t>Вовлечённость</t>
        </is>
      </c>
      <c r="D11" s="7" t="inlineStr"/>
      <c r="E11" s="8" t="inlineStr">
        <is>
          <t>Среда в компании мотивирует меня достигать результата выше формально ожидаемого.</t>
        </is>
      </c>
      <c r="F11" s="7" t="inlineStr">
        <is>
          <t>Шкала 1–5</t>
        </is>
      </c>
      <c r="G11" s="7" t="inlineStr">
        <is>
          <t>1 — полностью не согласен; 5 — полностью согласен</t>
        </is>
      </c>
      <c r="H11" s="6" t="inlineStr">
        <is>
          <t>Да</t>
        </is>
      </c>
      <c r="I11" s="7" t="inlineStr">
        <is>
          <t>Всем</t>
        </is>
      </c>
      <c r="J11" s="7" t="inlineStr">
        <is>
          <t>8 / Сохранён</t>
        </is>
      </c>
    </row>
    <row r="12" ht="30" customHeight="1">
      <c r="A12" s="5" t="n">
        <v>7</v>
      </c>
      <c r="B12" s="6" t="inlineStr">
        <is>
          <t>OFF_Q009</t>
        </is>
      </c>
      <c r="C12" s="7" t="inlineStr">
        <is>
          <t>Вовлечённость</t>
        </is>
      </c>
      <c r="D12" s="7" t="inlineStr"/>
      <c r="E12" s="8" t="inlineStr">
        <is>
          <t>Я регулярно вижу конкретный результат своей работы.</t>
        </is>
      </c>
      <c r="F12" s="7" t="inlineStr">
        <is>
          <t>Шкала 1–5</t>
        </is>
      </c>
      <c r="G12" s="7" t="inlineStr">
        <is>
          <t>1 — полностью не согласен; 5 — полностью согласен</t>
        </is>
      </c>
      <c r="H12" s="6" t="inlineStr">
        <is>
          <t>Да</t>
        </is>
      </c>
      <c r="I12" s="7" t="inlineStr">
        <is>
          <t>Всем</t>
        </is>
      </c>
      <c r="J12" s="7" t="inlineStr">
        <is>
          <t>9 / Сохранён</t>
        </is>
      </c>
    </row>
    <row r="13" ht="30" customHeight="1">
      <c r="A13" s="5" t="n">
        <v>8</v>
      </c>
      <c r="B13" s="6" t="inlineStr">
        <is>
          <t>OFF_Q011</t>
        </is>
      </c>
      <c r="C13" s="7" t="inlineStr">
        <is>
          <t>Вовлечённость</t>
        </is>
      </c>
      <c r="D13" s="7" t="inlineStr"/>
      <c r="E13" s="8" t="inlineStr">
        <is>
          <t>Я понимаю, по каким признакам могу оценить, что хорошо справляюсь со своей работой.</t>
        </is>
      </c>
      <c r="F13" s="7" t="inlineStr">
        <is>
          <t>Шкала 1–5</t>
        </is>
      </c>
      <c r="G13" s="7" t="inlineStr">
        <is>
          <t>1 — полностью не согласен; 5 — полностью согласен</t>
        </is>
      </c>
      <c r="H13" s="6" t="inlineStr">
        <is>
          <t>Да</t>
        </is>
      </c>
      <c r="I13" s="7" t="inlineStr">
        <is>
          <t>Всем</t>
        </is>
      </c>
      <c r="J13" s="7" t="inlineStr">
        <is>
          <t>11 / Сохранён</t>
        </is>
      </c>
    </row>
    <row r="14" ht="30" customHeight="1">
      <c r="A14" s="9" t="n">
        <v>9</v>
      </c>
      <c r="B14" s="10" t="inlineStr">
        <is>
          <t>OFF_Q012</t>
        </is>
      </c>
      <c r="C14" s="11" t="inlineStr">
        <is>
          <t>Вовлечённость</t>
        </is>
      </c>
      <c r="D14" s="11" t="inlineStr"/>
      <c r="E14" s="12" t="inlineStr">
        <is>
          <t>Что чаще всего мешает вам чувствовать результат и завершённость своей работы и что помогло бы это изменить?</t>
        </is>
      </c>
      <c r="F14" s="11" t="inlineStr">
        <is>
          <t>Длинный текст</t>
        </is>
      </c>
      <c r="G14" s="11" t="n"/>
      <c r="H14" s="10" t="inlineStr">
        <is>
          <t>Нет</t>
        </is>
      </c>
      <c r="I14" s="11" t="inlineStr">
        <is>
          <t>Всем</t>
        </is>
      </c>
      <c r="J14" s="11" t="inlineStr">
        <is>
          <t>12 / Объединён / уточнён</t>
        </is>
      </c>
    </row>
    <row r="15" ht="30" customHeight="1">
      <c r="A15" s="5" t="n">
        <v>10</v>
      </c>
      <c r="B15" s="6" t="inlineStr">
        <is>
          <t>OFF_Q016</t>
        </is>
      </c>
      <c r="C15" s="7" t="inlineStr">
        <is>
          <t>Эффективность</t>
        </is>
      </c>
      <c r="D15" s="7" t="inlineStr"/>
      <c r="E15" s="8" t="inlineStr">
        <is>
          <t>Я понимаю, куда обратиться, если сталкиваюсь с повторяющейся рабочей проблемой.</t>
        </is>
      </c>
      <c r="F15" s="7" t="inlineStr">
        <is>
          <t>Шкала 1–5</t>
        </is>
      </c>
      <c r="G15" s="7" t="inlineStr">
        <is>
          <t>1 — полностью не согласен; 5 — полностью согласен</t>
        </is>
      </c>
      <c r="H15" s="6" t="inlineStr">
        <is>
          <t>Да</t>
        </is>
      </c>
      <c r="I15" s="7" t="inlineStr">
        <is>
          <t>Всем</t>
        </is>
      </c>
      <c r="J15" s="7" t="inlineStr">
        <is>
          <t>16 / Сохранён</t>
        </is>
      </c>
    </row>
    <row r="16" ht="30" customHeight="1">
      <c r="A16" s="5" t="n">
        <v>11</v>
      </c>
      <c r="B16" s="6" t="inlineStr">
        <is>
          <t>OFF_Q017</t>
        </is>
      </c>
      <c r="C16" s="7" t="inlineStr">
        <is>
          <t>Эффективность</t>
        </is>
      </c>
      <c r="D16" s="7" t="inlineStr"/>
      <c r="E16" s="8" t="inlineStr">
        <is>
          <t>Если я озвучиваю проблему или предложение, я понимаю, что с ним происходит дальше.</t>
        </is>
      </c>
      <c r="F16" s="7" t="inlineStr">
        <is>
          <t>Шкала 1–5</t>
        </is>
      </c>
      <c r="G16" s="7" t="inlineStr">
        <is>
          <t>1 — полностью не согласен; 5 — полностью согласен</t>
        </is>
      </c>
      <c r="H16" s="6" t="inlineStr">
        <is>
          <t>Да</t>
        </is>
      </c>
      <c r="I16" s="7" t="inlineStr">
        <is>
          <t>Всем</t>
        </is>
      </c>
      <c r="J16" s="7" t="inlineStr">
        <is>
          <t>17 / Сохранён</t>
        </is>
      </c>
    </row>
    <row r="17" ht="30" customHeight="1">
      <c r="A17" s="5" t="n">
        <v>12</v>
      </c>
      <c r="B17" s="6" t="inlineStr">
        <is>
          <t>OFF_Q018</t>
        </is>
      </c>
      <c r="C17" s="7" t="inlineStr">
        <is>
          <t>Эффективность</t>
        </is>
      </c>
      <c r="D17" s="7" t="inlineStr"/>
      <c r="E17" s="8" t="inlineStr">
        <is>
          <t>Мне не приходится регулярно выполнять лишние ручные действия из-за ограничений рабочих систем.</t>
        </is>
      </c>
      <c r="F17" s="7" t="inlineStr">
        <is>
          <t>Шкала 1–5</t>
        </is>
      </c>
      <c r="G17" s="7" t="inlineStr">
        <is>
          <t>1 — полностью не согласен; 5 — полностью согласен</t>
        </is>
      </c>
      <c r="H17" s="6" t="inlineStr">
        <is>
          <t>Да</t>
        </is>
      </c>
      <c r="I17" s="7" t="inlineStr">
        <is>
          <t>Всем</t>
        </is>
      </c>
      <c r="J17" s="7" t="inlineStr">
        <is>
          <t>18 / Сохранён</t>
        </is>
      </c>
    </row>
    <row r="18" ht="30" customHeight="1">
      <c r="A18" s="5" t="n">
        <v>13</v>
      </c>
      <c r="B18" s="6" t="inlineStr">
        <is>
          <t>OFF_Q019</t>
        </is>
      </c>
      <c r="C18" s="7" t="inlineStr">
        <is>
          <t>Эффективность</t>
        </is>
      </c>
      <c r="D18" s="7" t="inlineStr"/>
      <c r="E18" s="8" t="inlineStr">
        <is>
          <t>У меня есть все необходимые доступы к системам и информации для выполнения моей работы.</t>
        </is>
      </c>
      <c r="F18" s="7" t="inlineStr">
        <is>
          <t>Шкала 1–5</t>
        </is>
      </c>
      <c r="G18" s="7" t="inlineStr">
        <is>
          <t>1 — полностью не согласен; 5 — полностью согласен</t>
        </is>
      </c>
      <c r="H18" s="6" t="inlineStr">
        <is>
          <t>Да</t>
        </is>
      </c>
      <c r="I18" s="7" t="inlineStr">
        <is>
          <t>Всем</t>
        </is>
      </c>
      <c r="J18" s="7" t="inlineStr">
        <is>
          <t>19 / Сохранён</t>
        </is>
      </c>
    </row>
    <row r="19" ht="30" customHeight="1">
      <c r="A19" s="5" t="n">
        <v>14</v>
      </c>
      <c r="B19" s="6" t="inlineStr">
        <is>
          <t>OFF_Q020</t>
        </is>
      </c>
      <c r="C19" s="7" t="inlineStr">
        <is>
          <t>Эффективность</t>
        </is>
      </c>
      <c r="D19" s="7" t="inlineStr"/>
      <c r="E19" s="8" t="inlineStr">
        <is>
          <t>Если возникает техническая проблема, я понимаю, куда обратиться и могу получить решение в приемлемый срок.</t>
        </is>
      </c>
      <c r="F19" s="7" t="inlineStr">
        <is>
          <t>Шкала 1–5</t>
        </is>
      </c>
      <c r="G19" s="7" t="inlineStr">
        <is>
          <t>1 — полностью не согласен; 5 — полностью согласен</t>
        </is>
      </c>
      <c r="H19" s="6" t="inlineStr">
        <is>
          <t>Да</t>
        </is>
      </c>
      <c r="I19" s="7" t="inlineStr">
        <is>
          <t>Всем</t>
        </is>
      </c>
      <c r="J19" s="7" t="inlineStr">
        <is>
          <t>20 / Сохранён</t>
        </is>
      </c>
    </row>
    <row r="20" ht="30" customHeight="1">
      <c r="A20" s="13" t="n">
        <v>15</v>
      </c>
      <c r="B20" s="14" t="inlineStr">
        <is>
          <t>OFF_AI_01</t>
        </is>
      </c>
      <c r="C20" s="15" t="inlineStr">
        <is>
          <t>Эффективность</t>
        </is>
      </c>
      <c r="D20" s="15" t="inlineStr">
        <is>
          <t>ИИ и рабочие инструменты</t>
        </is>
      </c>
      <c r="E20" s="16" t="inlineStr">
        <is>
          <t>Используете ли вы инструменты искусственного интеллекта в своей работе?</t>
        </is>
      </c>
      <c r="F20" s="15" t="inlineStr">
        <is>
          <t>Один вариант</t>
        </is>
      </c>
      <c r="G20" s="15" t="inlineStr">
        <is>
          <t>Да, регулярно; Да, время от времени; Пробовал(а), но практически не использую; Нет, не использую</t>
        </is>
      </c>
      <c r="H20" s="14" t="inlineStr">
        <is>
          <t>Да</t>
        </is>
      </c>
      <c r="I20" s="15" t="inlineStr">
        <is>
          <t>Всем</t>
        </is>
      </c>
      <c r="J20" s="15" t="inlineStr">
        <is>
          <t>NEW / Новый</t>
        </is>
      </c>
    </row>
    <row r="21" ht="30" customHeight="1">
      <c r="A21" s="13" t="n">
        <v>16</v>
      </c>
      <c r="B21" s="14" t="inlineStr">
        <is>
          <t>OFF_AI_02</t>
        </is>
      </c>
      <c r="C21" s="15" t="inlineStr">
        <is>
          <t>Эффективность</t>
        </is>
      </c>
      <c r="D21" s="15" t="inlineStr">
        <is>
          <t>ИИ и рабочие инструменты</t>
        </is>
      </c>
      <c r="E21" s="16" t="inlineStr">
        <is>
          <t>Какими инструментами ИИ вы пользуетесь в работе? Выберите все подходящие варианты.</t>
        </is>
      </c>
      <c r="F21" s="15" t="inlineStr">
        <is>
          <t>Несколько вариантов</t>
        </is>
      </c>
      <c r="G21" s="15" t="inlineStr">
        <is>
          <t>ChatGPT; Microsoft Copilot; Gemini; Claude; Perplexity; GigaChat; YandexGPT; Другой</t>
        </is>
      </c>
      <c r="H21" s="14" t="inlineStr">
        <is>
          <t>Да</t>
        </is>
      </c>
      <c r="I21" s="15" t="inlineStr">
        <is>
          <t>Если OFF_AI_01 = «Да, регулярно» или «Да, время от времени»</t>
        </is>
      </c>
      <c r="J21" s="15" t="inlineStr">
        <is>
          <t>NEW / Новый</t>
        </is>
      </c>
    </row>
    <row r="22" ht="30" customHeight="1">
      <c r="A22" s="13" t="n">
        <v>17</v>
      </c>
      <c r="B22" s="14" t="inlineStr">
        <is>
          <t>OFF_AI_03</t>
        </is>
      </c>
      <c r="C22" s="15" t="inlineStr">
        <is>
          <t>Эффективность</t>
        </is>
      </c>
      <c r="D22" s="15" t="inlineStr">
        <is>
          <t>ИИ и рабочие инструменты</t>
        </is>
      </c>
      <c r="E22" s="16" t="inlineStr">
        <is>
          <t>Какой версией или типом доступа к ИИ-инструментам вы преимущественно пользуетесь?</t>
        </is>
      </c>
      <c r="F22" s="15" t="inlineStr">
        <is>
          <t>Один вариант</t>
        </is>
      </c>
      <c r="G22" s="15" t="inlineStr">
        <is>
          <t>Бесплатная версия; Личная платная версия; Оплачивает компания / корпоративный доступ; Использую и бесплатные, и платные версии; Не знаю; Другое</t>
        </is>
      </c>
      <c r="H22" s="14" t="inlineStr">
        <is>
          <t>Да</t>
        </is>
      </c>
      <c r="I22" s="15" t="inlineStr">
        <is>
          <t>Если OFF_AI_01 = «Да, регулярно» или «Да, время от времени»</t>
        </is>
      </c>
      <c r="J22" s="15" t="inlineStr">
        <is>
          <t>NEW / Новый</t>
        </is>
      </c>
    </row>
    <row r="23" ht="30" customHeight="1">
      <c r="A23" s="13" t="n">
        <v>18</v>
      </c>
      <c r="B23" s="14" t="inlineStr">
        <is>
          <t>OFF_AI_05</t>
        </is>
      </c>
      <c r="C23" s="15" t="inlineStr">
        <is>
          <t>Эффективность</t>
        </is>
      </c>
      <c r="D23" s="15" t="inlineStr">
        <is>
          <t>ИИ и рабочие инструменты</t>
        </is>
      </c>
      <c r="E23" s="16" t="inlineStr">
        <is>
          <t>В каких рабочих задачах ИИ приносит вам наибольшую пользу?</t>
        </is>
      </c>
      <c r="F23" s="15" t="inlineStr">
        <is>
          <t>Длинный текст</t>
        </is>
      </c>
      <c r="G23" s="15" t="n"/>
      <c r="H23" s="14" t="inlineStr">
        <is>
          <t>Нет</t>
        </is>
      </c>
      <c r="I23" s="15" t="inlineStr">
        <is>
          <t>Если OFF_AI_01 = «Да, регулярно» или «Да, время от времени»</t>
        </is>
      </c>
      <c r="J23" s="15" t="inlineStr">
        <is>
          <t>NEW / Новый</t>
        </is>
      </c>
    </row>
    <row r="24" ht="30" customHeight="1">
      <c r="A24" s="13" t="n">
        <v>19</v>
      </c>
      <c r="B24" s="14" t="inlineStr">
        <is>
          <t>OFF_AI_06</t>
        </is>
      </c>
      <c r="C24" s="15" t="inlineStr">
        <is>
          <t>Эффективность</t>
        </is>
      </c>
      <c r="D24" s="15" t="inlineStr">
        <is>
          <t>ИИ и рабочие инструменты</t>
        </is>
      </c>
      <c r="E24" s="16" t="inlineStr">
        <is>
          <t>Могли бы инструменты ИИ быть полезны вам в работе?</t>
        </is>
      </c>
      <c r="F24" s="15" t="inlineStr">
        <is>
          <t>Один вариант</t>
        </is>
      </c>
      <c r="G24" s="15" t="inlineStr">
        <is>
          <t>Да; Скорее да; Скорее нет; Нет; Не знаю, как их можно применить в моей работе</t>
        </is>
      </c>
      <c r="H24" s="14" t="inlineStr">
        <is>
          <t>Да</t>
        </is>
      </c>
      <c r="I24" s="15" t="inlineStr">
        <is>
          <t>Если OFF_AI_01 = «Пробовал(а), но практически не использую» или «Нет, не использую»</t>
        </is>
      </c>
      <c r="J24" s="15" t="inlineStr">
        <is>
          <t>NEW / Новый</t>
        </is>
      </c>
    </row>
    <row r="25" ht="30" customHeight="1">
      <c r="A25" s="13" t="n">
        <v>20</v>
      </c>
      <c r="B25" s="14" t="inlineStr">
        <is>
          <t>OFF_AI_07</t>
        </is>
      </c>
      <c r="C25" s="15" t="inlineStr">
        <is>
          <t>Эффективность</t>
        </is>
      </c>
      <c r="D25" s="15" t="inlineStr">
        <is>
          <t>ИИ и рабочие инструменты</t>
        </is>
      </c>
      <c r="E25" s="16" t="inlineStr">
        <is>
          <t>Как вы могли бы применять ИИ в своей работе?</t>
        </is>
      </c>
      <c r="F25" s="15" t="inlineStr">
        <is>
          <t>Длинный текст</t>
        </is>
      </c>
      <c r="G25" s="15" t="n"/>
      <c r="H25" s="14" t="inlineStr">
        <is>
          <t>Нет</t>
        </is>
      </c>
      <c r="I25" s="15" t="inlineStr">
        <is>
          <t>Если OFF_AI_01 = «Пробовал(а), но практически не использую» или «Нет, не использую»</t>
        </is>
      </c>
      <c r="J25" s="15" t="inlineStr">
        <is>
          <t>NEW / Новый</t>
        </is>
      </c>
    </row>
    <row r="26" ht="30" customHeight="1">
      <c r="A26" s="13" t="n">
        <v>21</v>
      </c>
      <c r="B26" s="14" t="inlineStr">
        <is>
          <t>OFF_AI_08</t>
        </is>
      </c>
      <c r="C26" s="15" t="inlineStr">
        <is>
          <t>Эффективность</t>
        </is>
      </c>
      <c r="D26" s="15" t="inlineStr">
        <is>
          <t>ИИ и рабочие инструменты</t>
        </is>
      </c>
      <c r="E26" s="16" t="inlineStr">
        <is>
          <t>Что сегодня мешает вам эффективнее использовать ИИ в работе? Выберите все подходящие варианты.</t>
        </is>
      </c>
      <c r="F26" s="15" t="inlineStr">
        <is>
          <t>Несколько вариантов</t>
        </is>
      </c>
      <c r="G26" s="15" t="inlineStr">
        <is>
          <t>У меня нет доступа к оплачиваемой версии; Не знаю, какие инструменты подходят; Не понимаю, для каких задач можно использовать ИИ; Не хватает знаний / навыков; Нужно обучение; Нет корпоративного доступа; Есть ограничения по работе с корпоративными / конфиденциальными данными; Не доверяю качеству ответов; Не понимаю, какие данные можно передавать ИИ; В моей работе ИИ не требуется; Ничего не мешает; Другое</t>
        </is>
      </c>
      <c r="H26" s="14" t="inlineStr">
        <is>
          <t>Да</t>
        </is>
      </c>
      <c r="I26" s="15" t="inlineStr">
        <is>
          <t>Всем</t>
        </is>
      </c>
      <c r="J26" s="15" t="inlineStr">
        <is>
          <t>NEW / Новый</t>
        </is>
      </c>
    </row>
    <row r="27" ht="54" customHeight="1">
      <c r="A27" s="13" t="n">
        <v>22</v>
      </c>
      <c r="B27" s="14" t="inlineStr">
        <is>
          <t>OFF_AI_09</t>
        </is>
      </c>
      <c r="C27" s="15" t="inlineStr">
        <is>
          <t>Эффективность</t>
        </is>
      </c>
      <c r="D27" s="15" t="inlineStr">
        <is>
          <t>ИИ и рабочие инструменты</t>
        </is>
      </c>
      <c r="E27" s="16" t="inlineStr">
        <is>
          <t>Что помогло бы вам эффективнее использовать ИИ в работе? Выберите все подходящие варианты.</t>
        </is>
      </c>
      <c r="F27" s="15" t="inlineStr">
        <is>
          <t>Несколько вариантов</t>
        </is>
      </c>
      <c r="G27" s="15" t="inlineStr">
        <is>
          <t>Доступ к платной версии; Корпоративный доступ; Базовое обучение; Обучение под задачи моей функции; Примеры и готовые сценарии использования; Понятные правила компании по работе с ИИ и данными; Консультация специалиста; Ничего не требуется; Другое</t>
        </is>
      </c>
      <c r="H27" s="14" t="inlineStr">
        <is>
          <t>Да</t>
        </is>
      </c>
      <c r="I27" s="15" t="inlineStr">
        <is>
          <t>Всем</t>
        </is>
      </c>
      <c r="J27" s="15" t="inlineStr">
        <is>
          <t>NEW / Новый</t>
        </is>
      </c>
    </row>
    <row r="28" ht="42" customHeight="1">
      <c r="A28" s="9" t="n">
        <v>23</v>
      </c>
      <c r="B28" s="10" t="inlineStr">
        <is>
          <t>OFF_Q021</t>
        </is>
      </c>
      <c r="C28" s="11" t="inlineStr">
        <is>
          <t>Эффективность</t>
        </is>
      </c>
      <c r="D28" s="11" t="inlineStr"/>
      <c r="E28" s="12" t="inlineStr">
        <is>
          <t>Какая программа, система или рабочий процесс сегодня отнимает у вас лишнее время и что в нём необходимо изменить или автоматизировать?</t>
        </is>
      </c>
      <c r="F28" s="11" t="inlineStr">
        <is>
          <t>Длинный текст</t>
        </is>
      </c>
      <c r="G28" s="11" t="n"/>
      <c r="H28" s="10" t="inlineStr">
        <is>
          <t>Нет</t>
        </is>
      </c>
      <c r="I28" s="11" t="inlineStr">
        <is>
          <t>Всем</t>
        </is>
      </c>
      <c r="J28" s="11" t="inlineStr">
        <is>
          <t>21 / Объединён / уточнён</t>
        </is>
      </c>
    </row>
    <row r="29" ht="30" customHeight="1">
      <c r="A29" s="5" t="n">
        <v>24</v>
      </c>
      <c r="B29" s="6" t="inlineStr">
        <is>
          <t>OFF_Q023</t>
        </is>
      </c>
      <c r="C29" s="7" t="inlineStr">
        <is>
          <t>Эффективность</t>
        </is>
      </c>
      <c r="D29" s="7" t="inlineStr"/>
      <c r="E29" s="8" t="inlineStr">
        <is>
          <t>Проблемы, которые регулярно повторяются, в конечном итоге устраняются, а не только решаются каждый раз вручную.</t>
        </is>
      </c>
      <c r="F29" s="7" t="inlineStr">
        <is>
          <t>Шкала 1–5</t>
        </is>
      </c>
      <c r="G29" s="7" t="inlineStr">
        <is>
          <t>1 — полностью не согласен; 5 — полностью согласен</t>
        </is>
      </c>
      <c r="H29" s="6" t="inlineStr">
        <is>
          <t>Да</t>
        </is>
      </c>
      <c r="I29" s="7" t="inlineStr">
        <is>
          <t>Всем</t>
        </is>
      </c>
      <c r="J29" s="7" t="inlineStr">
        <is>
          <t>23 / Сохранён</t>
        </is>
      </c>
    </row>
    <row r="30" ht="30" customHeight="1">
      <c r="A30" s="5" t="n">
        <v>25</v>
      </c>
      <c r="B30" s="6" t="inlineStr">
        <is>
          <t>OFF_Q024</t>
        </is>
      </c>
      <c r="C30" s="7" t="inlineStr">
        <is>
          <t>Эффективность</t>
        </is>
      </c>
      <c r="D30" s="7" t="inlineStr"/>
      <c r="E30" s="8" t="inlineStr">
        <is>
          <t>Компания достаточно быстро реагирует на проблемы, которые мешают работе сотрудников.</t>
        </is>
      </c>
      <c r="F30" s="7" t="inlineStr">
        <is>
          <t>Шкала 1–5</t>
        </is>
      </c>
      <c r="G30" s="7" t="inlineStr">
        <is>
          <t>1 — полностью не согласен; 5 — полностью согласен</t>
        </is>
      </c>
      <c r="H30" s="6" t="inlineStr">
        <is>
          <t>Да</t>
        </is>
      </c>
      <c r="I30" s="7" t="inlineStr">
        <is>
          <t>Всем</t>
        </is>
      </c>
      <c r="J30" s="7" t="inlineStr">
        <is>
          <t>24 / Сохранён</t>
        </is>
      </c>
    </row>
    <row r="31" ht="30" customHeight="1">
      <c r="A31" s="5" t="n">
        <v>26</v>
      </c>
      <c r="B31" s="6" t="inlineStr">
        <is>
          <t>OFF_Q025</t>
        </is>
      </c>
      <c r="C31" s="7" t="inlineStr">
        <is>
          <t>Эффективность</t>
        </is>
      </c>
      <c r="D31" s="7" t="inlineStr"/>
      <c r="E31" s="8" t="inlineStr">
        <is>
          <t>Какой процесс в компании, на ваш взгляд, давно необходимо изменить или упростить?</t>
        </is>
      </c>
      <c r="F31" s="7" t="inlineStr">
        <is>
          <t>Длинный текст</t>
        </is>
      </c>
      <c r="G31" s="7" t="n"/>
      <c r="H31" s="6" t="inlineStr">
        <is>
          <t>Нет</t>
        </is>
      </c>
      <c r="I31" s="7" t="inlineStr">
        <is>
          <t>Всем</t>
        </is>
      </c>
      <c r="J31" s="7" t="inlineStr">
        <is>
          <t>25 / Сохранён</t>
        </is>
      </c>
    </row>
    <row r="32" ht="30" customHeight="1">
      <c r="A32" s="5" t="n">
        <v>27</v>
      </c>
      <c r="B32" s="6" t="inlineStr">
        <is>
          <t>OFF_Q026</t>
        </is>
      </c>
      <c r="C32" s="7" t="inlineStr">
        <is>
          <t>Эффективность</t>
        </is>
      </c>
      <c r="D32" s="7" t="inlineStr"/>
      <c r="E32" s="8" t="inlineStr">
        <is>
          <t>Как часто вам приходится выполнять рабочие задачи за пределами установленного рабочего времени?</t>
        </is>
      </c>
      <c r="F32" s="7" t="inlineStr">
        <is>
          <t>Один вариант</t>
        </is>
      </c>
      <c r="G32" s="7" t="inlineStr">
        <is>
          <t>Никогда; Редко; Иногда; Часто; Практически постоянно</t>
        </is>
      </c>
      <c r="H32" s="6" t="inlineStr">
        <is>
          <t>Да</t>
        </is>
      </c>
      <c r="I32" s="7" t="inlineStr">
        <is>
          <t>Всем</t>
        </is>
      </c>
      <c r="J32" s="7" t="inlineStr">
        <is>
          <t>26 / Сохранён</t>
        </is>
      </c>
    </row>
    <row r="33" ht="30" customHeight="1">
      <c r="A33" s="5" t="n">
        <v>28</v>
      </c>
      <c r="B33" s="6" t="inlineStr">
        <is>
          <t>OFF_Q027</t>
        </is>
      </c>
      <c r="C33" s="7" t="inlineStr">
        <is>
          <t>Эффективность</t>
        </is>
      </c>
      <c r="D33" s="7" t="inlineStr"/>
      <c r="E33" s="8" t="inlineStr">
        <is>
          <t>Рабочие задачи обычно позволяют мне сохранять достаточно времени для личной жизни и отдыха.</t>
        </is>
      </c>
      <c r="F33" s="7" t="inlineStr">
        <is>
          <t>Шкала 1–5</t>
        </is>
      </c>
      <c r="G33" s="7" t="inlineStr">
        <is>
          <t>1 — полностью не согласен; 5 — полностью согласен</t>
        </is>
      </c>
      <c r="H33" s="6" t="inlineStr">
        <is>
          <t>Да</t>
        </is>
      </c>
      <c r="I33" s="7" t="inlineStr">
        <is>
          <t>Всем</t>
        </is>
      </c>
      <c r="J33" s="7" t="inlineStr">
        <is>
          <t>27 / Сохранён</t>
        </is>
      </c>
    </row>
    <row r="34" ht="30" customHeight="1">
      <c r="A34" s="5" t="n">
        <v>29</v>
      </c>
      <c r="B34" s="6" t="inlineStr">
        <is>
          <t>OFF_Q029</t>
        </is>
      </c>
      <c r="C34" s="7" t="inlineStr">
        <is>
          <t>Эффективность</t>
        </is>
      </c>
      <c r="D34" s="7" t="inlineStr"/>
      <c r="E34" s="8" t="inlineStr">
        <is>
          <t>После окончания рабочего дня я могу действительно отключиться от рабочих вопросов.</t>
        </is>
      </c>
      <c r="F34" s="7" t="inlineStr">
        <is>
          <t>Шкала 1–5</t>
        </is>
      </c>
      <c r="G34" s="7" t="inlineStr">
        <is>
          <t>1 — полностью не согласен; 5 — полностью согласен</t>
        </is>
      </c>
      <c r="H34" s="6" t="inlineStr">
        <is>
          <t>Да</t>
        </is>
      </c>
      <c r="I34" s="7" t="inlineStr">
        <is>
          <t>Всем</t>
        </is>
      </c>
      <c r="J34" s="7" t="inlineStr">
        <is>
          <t>29 / Сохранён</t>
        </is>
      </c>
    </row>
    <row r="35" ht="30" customHeight="1">
      <c r="A35" s="5" t="n">
        <v>30</v>
      </c>
      <c r="B35" s="6" t="inlineStr">
        <is>
          <t>OFF_Q031</t>
        </is>
      </c>
      <c r="C35" s="7" t="inlineStr">
        <is>
          <t>Руководитель</t>
        </is>
      </c>
      <c r="D35" s="7" t="inlineStr"/>
      <c r="E35" s="8" t="inlineStr">
        <is>
          <t>Мой руководитель понятно ставит задачи и приоритеты.</t>
        </is>
      </c>
      <c r="F35" s="7" t="inlineStr">
        <is>
          <t>Шкала 1–5</t>
        </is>
      </c>
      <c r="G35" s="7" t="inlineStr">
        <is>
          <t>1 — полностью не согласен; 5 — полностью согласен</t>
        </is>
      </c>
      <c r="H35" s="6" t="inlineStr">
        <is>
          <t>Да</t>
        </is>
      </c>
      <c r="I35" s="7" t="inlineStr">
        <is>
          <t>Всем</t>
        </is>
      </c>
      <c r="J35" s="7" t="inlineStr">
        <is>
          <t>31 / Сохранён</t>
        </is>
      </c>
    </row>
    <row r="36" ht="30" customHeight="1">
      <c r="A36" s="5" t="n">
        <v>31</v>
      </c>
      <c r="B36" s="6" t="inlineStr">
        <is>
          <t>OFF_Q032</t>
        </is>
      </c>
      <c r="C36" s="7" t="inlineStr">
        <is>
          <t>Руководитель</t>
        </is>
      </c>
      <c r="D36" s="7" t="inlineStr"/>
      <c r="E36" s="8" t="inlineStr">
        <is>
          <t>Руководитель относится ко мне уважительно.</t>
        </is>
      </c>
      <c r="F36" s="7" t="inlineStr">
        <is>
          <t>Шкала 1–5</t>
        </is>
      </c>
      <c r="G36" s="7" t="inlineStr">
        <is>
          <t>1 — полностью не согласен; 5 — полностью согласен</t>
        </is>
      </c>
      <c r="H36" s="6" t="inlineStr">
        <is>
          <t>Да</t>
        </is>
      </c>
      <c r="I36" s="7" t="inlineStr">
        <is>
          <t>Всем</t>
        </is>
      </c>
      <c r="J36" s="7" t="inlineStr">
        <is>
          <t>32 / Сохранён</t>
        </is>
      </c>
    </row>
    <row r="37" ht="30" customHeight="1">
      <c r="A37" s="5" t="n">
        <v>32</v>
      </c>
      <c r="B37" s="6" t="inlineStr">
        <is>
          <t>OFF_Q033</t>
        </is>
      </c>
      <c r="C37" s="7" t="inlineStr">
        <is>
          <t>Руководитель</t>
        </is>
      </c>
      <c r="D37" s="7" t="inlineStr"/>
      <c r="E37" s="8" t="inlineStr">
        <is>
          <t>Я считаю, что руководитель справедливо оценивает мою работу и вклад.</t>
        </is>
      </c>
      <c r="F37" s="7" t="inlineStr">
        <is>
          <t>Шкала 1–5</t>
        </is>
      </c>
      <c r="G37" s="7" t="inlineStr">
        <is>
          <t>1 — полностью не согласен; 5 — полностью согласен</t>
        </is>
      </c>
      <c r="H37" s="6" t="inlineStr">
        <is>
          <t>Да</t>
        </is>
      </c>
      <c r="I37" s="7" t="inlineStr">
        <is>
          <t>Всем</t>
        </is>
      </c>
      <c r="J37" s="7" t="inlineStr">
        <is>
          <t>33 / Сохранён</t>
        </is>
      </c>
    </row>
    <row r="38" ht="30" customHeight="1">
      <c r="A38" s="5" t="n">
        <v>33</v>
      </c>
      <c r="B38" s="6" t="inlineStr">
        <is>
          <t>OFF_Q034</t>
        </is>
      </c>
      <c r="C38" s="7" t="inlineStr">
        <is>
          <t>Руководитель</t>
        </is>
      </c>
      <c r="D38" s="7" t="inlineStr"/>
      <c r="E38" s="8" t="inlineStr">
        <is>
          <t>Я регулярно получаю полезную обратную связь.</t>
        </is>
      </c>
      <c r="F38" s="7" t="inlineStr">
        <is>
          <t>Шкала 1–5</t>
        </is>
      </c>
      <c r="G38" s="7" t="inlineStr">
        <is>
          <t>1 — полностью не согласен; 5 — полностью согласен</t>
        </is>
      </c>
      <c r="H38" s="6" t="inlineStr">
        <is>
          <t>Да</t>
        </is>
      </c>
      <c r="I38" s="7" t="inlineStr">
        <is>
          <t>Всем</t>
        </is>
      </c>
      <c r="J38" s="7" t="inlineStr">
        <is>
          <t>34 / Сохранён</t>
        </is>
      </c>
    </row>
    <row r="39" ht="30" customHeight="1">
      <c r="A39" s="5" t="n">
        <v>34</v>
      </c>
      <c r="B39" s="6" t="inlineStr">
        <is>
          <t>OFF_Q035</t>
        </is>
      </c>
      <c r="C39" s="7" t="inlineStr">
        <is>
          <t>Руководитель</t>
        </is>
      </c>
      <c r="D39" s="7" t="inlineStr"/>
      <c r="E39" s="8" t="inlineStr">
        <is>
          <t>Я могу открыто говорить руководителю о проблемах и предлагать идеи.</t>
        </is>
      </c>
      <c r="F39" s="7" t="inlineStr">
        <is>
          <t>Шкала 1–5</t>
        </is>
      </c>
      <c r="G39" s="7" t="inlineStr">
        <is>
          <t>1 — полностью не согласен; 5 — полностью согласен</t>
        </is>
      </c>
      <c r="H39" s="6" t="inlineStr">
        <is>
          <t>Да</t>
        </is>
      </c>
      <c r="I39" s="7" t="inlineStr">
        <is>
          <t>Всем</t>
        </is>
      </c>
      <c r="J39" s="7" t="inlineStr">
        <is>
          <t>35 / Сохранён</t>
        </is>
      </c>
    </row>
    <row r="40" ht="30" customHeight="1">
      <c r="A40" s="5" t="n">
        <v>35</v>
      </c>
      <c r="B40" s="6" t="inlineStr">
        <is>
          <t>OFF_Q037</t>
        </is>
      </c>
      <c r="C40" s="7" t="inlineStr">
        <is>
          <t>Руководитель</t>
        </is>
      </c>
      <c r="D40" s="7" t="inlineStr"/>
      <c r="E40" s="8" t="inlineStr">
        <is>
          <t>Я считаю, что основные правила и требования применяются к сотрудникам последовательно и одинаково.</t>
        </is>
      </c>
      <c r="F40" s="7" t="inlineStr">
        <is>
          <t>Шкала 1–5</t>
        </is>
      </c>
      <c r="G40" s="7" t="inlineStr">
        <is>
          <t>1 — полностью не согласен; 5 — полностью согласен</t>
        </is>
      </c>
      <c r="H40" s="6" t="inlineStr">
        <is>
          <t>Да</t>
        </is>
      </c>
      <c r="I40" s="7" t="inlineStr">
        <is>
          <t>Всем</t>
        </is>
      </c>
      <c r="J40" s="7" t="inlineStr">
        <is>
          <t>37 / Сохранён</t>
        </is>
      </c>
    </row>
    <row r="41" ht="30" customHeight="1">
      <c r="A41" s="5" t="n">
        <v>36</v>
      </c>
      <c r="B41" s="6" t="inlineStr">
        <is>
          <t>OFF_Q038</t>
        </is>
      </c>
      <c r="C41" s="7" t="inlineStr">
        <is>
          <t>Руководитель</t>
        </is>
      </c>
      <c r="D41" s="7" t="inlineStr"/>
      <c r="E41" s="8" t="inlineStr">
        <is>
          <t>В моём подразделении рабочая нагрузка и ответственность распределяются справедливо.</t>
        </is>
      </c>
      <c r="F41" s="7" t="inlineStr">
        <is>
          <t>Шкала 1–5</t>
        </is>
      </c>
      <c r="G41" s="7" t="inlineStr">
        <is>
          <t>1 — полностью не согласен; 5 — полностью согласен</t>
        </is>
      </c>
      <c r="H41" s="6" t="inlineStr">
        <is>
          <t>Да</t>
        </is>
      </c>
      <c r="I41" s="7" t="inlineStr">
        <is>
          <t>Всем</t>
        </is>
      </c>
      <c r="J41" s="7" t="inlineStr">
        <is>
          <t>38 / Сохранён</t>
        </is>
      </c>
    </row>
    <row r="42" ht="30" customHeight="1">
      <c r="A42" s="5" t="n">
        <v>37</v>
      </c>
      <c r="B42" s="6" t="inlineStr">
        <is>
          <t>OFF_Q039</t>
        </is>
      </c>
      <c r="C42" s="7" t="inlineStr">
        <is>
          <t>Руководитель</t>
        </is>
      </c>
      <c r="D42" s="7" t="inlineStr"/>
      <c r="E42" s="8" t="inlineStr">
        <is>
          <t>В каких вопросах или ситуациях вам сегодня больше всего не хватает ощущения справедливости?</t>
        </is>
      </c>
      <c r="F42" s="7" t="inlineStr">
        <is>
          <t>Длинный текст</t>
        </is>
      </c>
      <c r="G42" s="7" t="n"/>
      <c r="H42" s="6" t="inlineStr">
        <is>
          <t>Нет</t>
        </is>
      </c>
      <c r="I42" s="7" t="inlineStr">
        <is>
          <t>Всем</t>
        </is>
      </c>
      <c r="J42" s="7" t="inlineStr">
        <is>
          <t>39 / Сохранён</t>
        </is>
      </c>
    </row>
    <row r="43" ht="30" customHeight="1">
      <c r="A43" s="5" t="n">
        <v>38</v>
      </c>
      <c r="B43" s="6" t="inlineStr">
        <is>
          <t>OFF_Q040</t>
        </is>
      </c>
      <c r="C43" s="7" t="inlineStr">
        <is>
          <t>Самостоятельность</t>
        </is>
      </c>
      <c r="D43" s="7" t="inlineStr"/>
      <c r="E43" s="8" t="inlineStr">
        <is>
          <t>Уровень полномочий позволяет мне реально влиять на результат в своей зоне ответственности.</t>
        </is>
      </c>
      <c r="F43" s="7" t="inlineStr">
        <is>
          <t>Шкала 1–5</t>
        </is>
      </c>
      <c r="G43" s="7" t="inlineStr">
        <is>
          <t>1 — полностью не согласен; 5 — полностью согласен</t>
        </is>
      </c>
      <c r="H43" s="6" t="inlineStr">
        <is>
          <t>Да</t>
        </is>
      </c>
      <c r="I43" s="7" t="inlineStr">
        <is>
          <t>Всем</t>
        </is>
      </c>
      <c r="J43" s="7" t="inlineStr">
        <is>
          <t>40 / Сохранён</t>
        </is>
      </c>
    </row>
    <row r="44" ht="30" customHeight="1">
      <c r="A44" s="5" t="n">
        <v>39</v>
      </c>
      <c r="B44" s="6" t="inlineStr">
        <is>
          <t>OFF_Q041</t>
        </is>
      </c>
      <c r="C44" s="7" t="inlineStr">
        <is>
          <t>Самостоятельность</t>
        </is>
      </c>
      <c r="D44" s="7" t="inlineStr"/>
      <c r="E44" s="8" t="inlineStr">
        <is>
          <t>Я могу отстаивать профессиональную позицию, даже если она отличается от мнения руководителя или смежной функции.</t>
        </is>
      </c>
      <c r="F44" s="7" t="inlineStr">
        <is>
          <t>Шкала 1–5</t>
        </is>
      </c>
      <c r="G44" s="7" t="inlineStr">
        <is>
          <t>1 — полностью не согласен; 5 — полностью согласен</t>
        </is>
      </c>
      <c r="H44" s="6" t="inlineStr">
        <is>
          <t>Да</t>
        </is>
      </c>
      <c r="I44" s="7" t="inlineStr">
        <is>
          <t>Всем</t>
        </is>
      </c>
      <c r="J44" s="7" t="inlineStr">
        <is>
          <t>41 / Сохранён</t>
        </is>
      </c>
    </row>
    <row r="45" ht="30" customHeight="1">
      <c r="A45" s="5" t="n">
        <v>40</v>
      </c>
      <c r="B45" s="6" t="inlineStr">
        <is>
          <t>OFF_Q043</t>
        </is>
      </c>
      <c r="C45" s="7" t="inlineStr">
        <is>
          <t>Топ-менеджмент</t>
        </is>
      </c>
      <c r="D45" s="7" t="inlineStr"/>
      <c r="E45" s="8" t="inlineStr">
        <is>
          <t>Я доверяю качеству ключевых бизнес-решений, принимаемых руководством компании.</t>
        </is>
      </c>
      <c r="F45" s="7" t="inlineStr">
        <is>
          <t>Шкала 1–5</t>
        </is>
      </c>
      <c r="G45" s="7" t="inlineStr">
        <is>
          <t>1 — полностью не согласен; 5 — полностью согласен</t>
        </is>
      </c>
      <c r="H45" s="6" t="inlineStr">
        <is>
          <t>Да</t>
        </is>
      </c>
      <c r="I45" s="7" t="inlineStr">
        <is>
          <t>Всем</t>
        </is>
      </c>
      <c r="J45" s="7" t="inlineStr">
        <is>
          <t>43 / Сохранён</t>
        </is>
      </c>
    </row>
    <row r="46" ht="30" customHeight="1">
      <c r="A46" s="5" t="n">
        <v>41</v>
      </c>
      <c r="B46" s="6" t="inlineStr">
        <is>
          <t>OFF_Q044</t>
        </is>
      </c>
      <c r="C46" s="7" t="inlineStr">
        <is>
          <t>Топ-менеджмент</t>
        </is>
      </c>
      <c r="D46" s="7" t="inlineStr"/>
      <c r="E46" s="8" t="inlineStr">
        <is>
          <t>Я понимаю, как цели моего подразделения связаны с общими целями компании.</t>
        </is>
      </c>
      <c r="F46" s="7" t="inlineStr">
        <is>
          <t>Шкала 1–5</t>
        </is>
      </c>
      <c r="G46" s="7" t="inlineStr">
        <is>
          <t>1 — полностью не согласен; 5 — полностью согласен</t>
        </is>
      </c>
      <c r="H46" s="6" t="inlineStr">
        <is>
          <t>Да</t>
        </is>
      </c>
      <c r="I46" s="7" t="inlineStr">
        <is>
          <t>Всем</t>
        </is>
      </c>
      <c r="J46" s="7" t="inlineStr">
        <is>
          <t>44 / Сохранён</t>
        </is>
      </c>
    </row>
    <row r="47" ht="30" customHeight="1">
      <c r="A47" s="5" t="n">
        <v>42</v>
      </c>
      <c r="B47" s="6" t="inlineStr">
        <is>
          <t>OFF_Q045</t>
        </is>
      </c>
      <c r="C47" s="7" t="inlineStr">
        <is>
          <t>Топ-менеджмент</t>
        </is>
      </c>
      <c r="D47" s="7" t="inlineStr"/>
      <c r="E47" s="8" t="inlineStr">
        <is>
          <t>При значимых изменениях мне достаточно понятно объясняют, почему компания принимает то или иное решение.</t>
        </is>
      </c>
      <c r="F47" s="7" t="inlineStr">
        <is>
          <t>Шкала 1–5</t>
        </is>
      </c>
      <c r="G47" s="7" t="inlineStr">
        <is>
          <t>1 — полностью не согласен; 5 — полностью согласен</t>
        </is>
      </c>
      <c r="H47" s="6" t="inlineStr">
        <is>
          <t>Да</t>
        </is>
      </c>
      <c r="I47" s="7" t="inlineStr">
        <is>
          <t>Всем</t>
        </is>
      </c>
      <c r="J47" s="7" t="inlineStr">
        <is>
          <t>45 / Сохранён</t>
        </is>
      </c>
    </row>
    <row r="48" ht="30" customHeight="1">
      <c r="A48" s="5" t="n">
        <v>43</v>
      </c>
      <c r="B48" s="6" t="inlineStr">
        <is>
          <t>OFF_Q046</t>
        </is>
      </c>
      <c r="C48" s="7" t="inlineStr">
        <is>
          <t>Топ-менеджмент</t>
        </is>
      </c>
      <c r="D48" s="7" t="inlineStr"/>
      <c r="E48" s="8" t="inlineStr">
        <is>
          <t>Решения, которые непосредственно касаются сотрудников, обычно принимаются понятным и справедливым образом.</t>
        </is>
      </c>
      <c r="F48" s="7" t="inlineStr">
        <is>
          <t>Шкала 1–5</t>
        </is>
      </c>
      <c r="G48" s="7" t="inlineStr">
        <is>
          <t>1 — полностью не согласен; 5 — полностью согласен</t>
        </is>
      </c>
      <c r="H48" s="6" t="inlineStr">
        <is>
          <t>Да</t>
        </is>
      </c>
      <c r="I48" s="7" t="inlineStr">
        <is>
          <t>Всем</t>
        </is>
      </c>
      <c r="J48" s="7" t="inlineStr">
        <is>
          <t>46 / Сохранён</t>
        </is>
      </c>
    </row>
    <row r="49" ht="30" customHeight="1">
      <c r="A49" s="9" t="n">
        <v>44</v>
      </c>
      <c r="B49" s="10" t="inlineStr">
        <is>
          <t>OFF_Q047</t>
        </is>
      </c>
      <c r="C49" s="11" t="inlineStr">
        <is>
          <t>Топ-менеджмент</t>
        </is>
      </c>
      <c r="D49" s="11" t="inlineStr"/>
      <c r="E49" s="12" t="inlineStr">
        <is>
          <t>Какой информации о целях, планах или решениях компании вам сегодня не хватает и что стоило бы изменить в коммуникации с сотрудниками?</t>
        </is>
      </c>
      <c r="F49" s="11" t="inlineStr">
        <is>
          <t>Длинный текст</t>
        </is>
      </c>
      <c r="G49" s="11" t="n"/>
      <c r="H49" s="10" t="inlineStr">
        <is>
          <t>Нет</t>
        </is>
      </c>
      <c r="I49" s="11" t="inlineStr">
        <is>
          <t>Всем</t>
        </is>
      </c>
      <c r="J49" s="11" t="inlineStr">
        <is>
          <t>47 / Объединён / уточнён</t>
        </is>
      </c>
    </row>
    <row r="50" ht="30" customHeight="1">
      <c r="A50" s="5" t="n">
        <v>45</v>
      </c>
      <c r="B50" s="6" t="inlineStr">
        <is>
          <t>OFF_Q050</t>
        </is>
      </c>
      <c r="C50" s="7" t="inlineStr">
        <is>
          <t>Признание</t>
        </is>
      </c>
      <c r="D50" s="7" t="inlineStr"/>
      <c r="E50" s="8" t="inlineStr">
        <is>
          <t>Я получаю признание или благодарность, когда действительно делаю значимый результат.</t>
        </is>
      </c>
      <c r="F50" s="7" t="inlineStr">
        <is>
          <t>Шкала 1–5</t>
        </is>
      </c>
      <c r="G50" s="7" t="inlineStr">
        <is>
          <t>1 — полностью не согласен; 5 — полностью согласен</t>
        </is>
      </c>
      <c r="H50" s="6" t="inlineStr">
        <is>
          <t>Да</t>
        </is>
      </c>
      <c r="I50" s="7" t="inlineStr">
        <is>
          <t>Всем</t>
        </is>
      </c>
      <c r="J50" s="7" t="inlineStr">
        <is>
          <t>50 / Сохранён</t>
        </is>
      </c>
    </row>
    <row r="51" ht="30" customHeight="1">
      <c r="A51" s="5" t="n">
        <v>46</v>
      </c>
      <c r="B51" s="6" t="inlineStr">
        <is>
          <t>OFF_Q051</t>
        </is>
      </c>
      <c r="C51" s="7" t="inlineStr">
        <is>
          <t>Признание</t>
        </is>
      </c>
      <c r="D51" s="7" t="inlineStr"/>
      <c r="E51" s="8" t="inlineStr">
        <is>
          <t>Какая форма признания лично для вас действительно имеет ценность? Выберите до 3.</t>
        </is>
      </c>
      <c r="F51" s="7" t="inlineStr">
        <is>
          <t>Несколько вариантов, до 3</t>
        </is>
      </c>
      <c r="G51" s="7" t="inlineStr">
        <is>
          <t>Личная благодарность руководителя; Публичное признание; Денежное вознаграждение; Дополнительная премия; Возможность участвовать в более значимых проектах; Профессиональное развитие / обучение; Расширение ответственности; Карьерное продвижение; Дополнительный выходной; Подарок / сертификат; Мне достаточно понимать, что мой результат замечен</t>
        </is>
      </c>
      <c r="H51" s="6" t="inlineStr">
        <is>
          <t>Да</t>
        </is>
      </c>
      <c r="I51" s="7" t="inlineStr">
        <is>
          <t>Всем</t>
        </is>
      </c>
      <c r="J51" s="7" t="inlineStr">
        <is>
          <t>51 / Сохранён</t>
        </is>
      </c>
    </row>
    <row r="52" ht="54" customHeight="1">
      <c r="A52" s="5" t="n">
        <v>47</v>
      </c>
      <c r="B52" s="6" t="inlineStr">
        <is>
          <t>OFF_Q053</t>
        </is>
      </c>
      <c r="C52" s="7" t="inlineStr">
        <is>
          <t>Намерение продолжать работу в компании</t>
        </is>
      </c>
      <c r="D52" s="7" t="inlineStr"/>
      <c r="E52" s="8" t="inlineStr">
        <is>
          <t>Насколько вероятно, что вы будете продолжать работать в компании через ближайшие 12 месяцев?</t>
        </is>
      </c>
      <c r="F52" s="7" t="inlineStr">
        <is>
          <t>Шкала 1–5</t>
        </is>
      </c>
      <c r="G52" s="7" t="inlineStr">
        <is>
          <t>1 — совершенно не вероятно; 5 — очень вероятно</t>
        </is>
      </c>
      <c r="H52" s="6" t="inlineStr">
        <is>
          <t>Да</t>
        </is>
      </c>
      <c r="I52" s="7" t="inlineStr">
        <is>
          <t>Всем</t>
        </is>
      </c>
      <c r="J52" s="7" t="inlineStr">
        <is>
          <t>53 / Сохранён</t>
        </is>
      </c>
    </row>
    <row r="53" ht="30" customHeight="1">
      <c r="A53" s="5" t="n">
        <v>48</v>
      </c>
      <c r="B53" s="6" t="inlineStr">
        <is>
          <t>OFF_Q054</t>
        </is>
      </c>
      <c r="C53" s="7" t="inlineStr">
        <is>
          <t>Намерение продолжать работу в компании</t>
        </is>
      </c>
      <c r="D53" s="7" t="inlineStr"/>
      <c r="E53" s="8" t="inlineStr">
        <is>
          <t>Как часто за последние 6 месяцев вы серьёзно задумывались о смене места работы?</t>
        </is>
      </c>
      <c r="F53" s="7" t="inlineStr">
        <is>
          <t>Один вариант</t>
        </is>
      </c>
      <c r="G53" s="7" t="inlineStr">
        <is>
          <t>Ни разу; Один-два раза; Иногда; Часто; В настоящее время рассматриваю варианты; Предпочитаю не отвечать</t>
        </is>
      </c>
      <c r="H53" s="6" t="inlineStr">
        <is>
          <t>Да</t>
        </is>
      </c>
      <c r="I53" s="7" t="inlineStr">
        <is>
          <t>Всем</t>
        </is>
      </c>
      <c r="J53" s="7" t="inlineStr">
        <is>
          <t>54 / Сохранён</t>
        </is>
      </c>
    </row>
    <row r="54" ht="30" customHeight="1">
      <c r="A54" s="5" t="n">
        <v>49</v>
      </c>
      <c r="B54" s="6" t="inlineStr">
        <is>
          <t>OFF_Q057</t>
        </is>
      </c>
      <c r="C54" s="7" t="inlineStr">
        <is>
          <t>Развитие и карьера</t>
        </is>
      </c>
      <c r="D54" s="7" t="inlineStr"/>
      <c r="E54" s="8" t="inlineStr">
        <is>
          <t>Текущие задачи и проекты позволяют мне усиливать профессиональную экспертизу.</t>
        </is>
      </c>
      <c r="F54" s="7" t="inlineStr">
        <is>
          <t>Шкала 1–5</t>
        </is>
      </c>
      <c r="G54" s="7" t="inlineStr">
        <is>
          <t>1 — полностью не согласен; 5 — полностью согласен</t>
        </is>
      </c>
      <c r="H54" s="6" t="inlineStr">
        <is>
          <t>Да</t>
        </is>
      </c>
      <c r="I54" s="7" t="inlineStr">
        <is>
          <t>Всем</t>
        </is>
      </c>
      <c r="J54" s="7" t="inlineStr">
        <is>
          <t>57 / Сохранён</t>
        </is>
      </c>
    </row>
    <row r="55" ht="30" customHeight="1">
      <c r="A55" s="5" t="n">
        <v>50</v>
      </c>
      <c r="B55" s="6" t="inlineStr">
        <is>
          <t>OFF_Q059</t>
        </is>
      </c>
      <c r="C55" s="7" t="inlineStr">
        <is>
          <t>Развитие и карьера</t>
        </is>
      </c>
      <c r="D55" s="7" t="inlineStr"/>
      <c r="E55" s="8" t="inlineStr">
        <is>
          <t>Я вижу для себя понятные возможности профессионального и карьерного развития в «Дымов».</t>
        </is>
      </c>
      <c r="F55" s="7" t="inlineStr">
        <is>
          <t>Шкала 1–5</t>
        </is>
      </c>
      <c r="G55" s="7" t="inlineStr">
        <is>
          <t>1 — полностью не согласен; 5 — полностью согласен</t>
        </is>
      </c>
      <c r="H55" s="6" t="inlineStr">
        <is>
          <t>Да</t>
        </is>
      </c>
      <c r="I55" s="7" t="inlineStr">
        <is>
          <t>Всем</t>
        </is>
      </c>
      <c r="J55" s="7" t="inlineStr">
        <is>
          <t>59 / Сохранён</t>
        </is>
      </c>
    </row>
    <row r="56" ht="30" customHeight="1">
      <c r="A56" s="5" t="n">
        <v>51</v>
      </c>
      <c r="B56" s="6" t="inlineStr">
        <is>
          <t>OFF_Q060</t>
        </is>
      </c>
      <c r="C56" s="7" t="inlineStr">
        <is>
          <t>Приоритеты</t>
        </is>
      </c>
      <c r="D56" s="7" t="inlineStr"/>
      <c r="E56" s="8" t="inlineStr">
        <is>
          <t>Какие факторы сегодня наиболее важны лично для вашей результативности? Выберите до 5.</t>
        </is>
      </c>
      <c r="F56" s="7" t="inlineStr">
        <is>
          <t>Несколько вариантов, до 5</t>
        </is>
      </c>
      <c r="G56" s="7" t="inlineStr">
        <is>
          <t>Ясность стратегии; Сильный руководитель; Самостоятельность и полномочия; Признание результата; Финансовая мотивация; Профессиональное развитие; Сильная команда; Качественная аналитика; Скорость принятия решений; Взаимодействие между подразделениями; IT-инструменты; Карьерные возможности; Другое</t>
        </is>
      </c>
      <c r="H56" s="6" t="inlineStr">
        <is>
          <t>Да</t>
        </is>
      </c>
      <c r="I56" s="7" t="inlineStr">
        <is>
          <t>Всем</t>
        </is>
      </c>
      <c r="J56" s="7" t="inlineStr">
        <is>
          <t>60 / Сохранён</t>
        </is>
      </c>
    </row>
    <row r="57" ht="42" customHeight="1">
      <c r="A57" s="5" t="n">
        <v>52</v>
      </c>
      <c r="B57" s="6" t="inlineStr">
        <is>
          <t>OFF_Q062</t>
        </is>
      </c>
      <c r="C57" s="7" t="inlineStr">
        <is>
          <t>Климат</t>
        </is>
      </c>
      <c r="D57" s="7" t="inlineStr"/>
      <c r="E57" s="8" t="inlineStr">
        <is>
          <t>Коллеги помогают друг другу.</t>
        </is>
      </c>
      <c r="F57" s="7" t="inlineStr">
        <is>
          <t>Шкала 1–5</t>
        </is>
      </c>
      <c r="G57" s="7" t="inlineStr">
        <is>
          <t>1 — полностью не согласен; 5 — полностью согласен</t>
        </is>
      </c>
      <c r="H57" s="6" t="inlineStr">
        <is>
          <t>Да</t>
        </is>
      </c>
      <c r="I57" s="7" t="inlineStr">
        <is>
          <t>Всем</t>
        </is>
      </c>
      <c r="J57" s="7" t="inlineStr">
        <is>
          <t>62 / Сохранён</t>
        </is>
      </c>
    </row>
    <row r="58" ht="30" customHeight="1">
      <c r="A58" s="5" t="n">
        <v>53</v>
      </c>
      <c r="B58" s="6" t="inlineStr">
        <is>
          <t>OFF_Q064</t>
        </is>
      </c>
      <c r="C58" s="7" t="inlineStr">
        <is>
          <t>Климат</t>
        </is>
      </c>
      <c r="D58" s="7" t="inlineStr"/>
      <c r="E58" s="8" t="inlineStr">
        <is>
          <t>Между подразделениями достаточно хорошее взаимодействие.</t>
        </is>
      </c>
      <c r="F58" s="7" t="inlineStr">
        <is>
          <t>Шкала 1–5</t>
        </is>
      </c>
      <c r="G58" s="7" t="inlineStr">
        <is>
          <t>1 — полностью не согласен; 5 — полностью согласен</t>
        </is>
      </c>
      <c r="H58" s="6" t="inlineStr">
        <is>
          <t>Да</t>
        </is>
      </c>
      <c r="I58" s="7" t="inlineStr">
        <is>
          <t>Всем</t>
        </is>
      </c>
      <c r="J58" s="7" t="inlineStr">
        <is>
          <t>64 / Сохранён</t>
        </is>
      </c>
    </row>
    <row r="59" ht="30" customHeight="1">
      <c r="A59" s="5" t="n">
        <v>54</v>
      </c>
      <c r="B59" s="6" t="inlineStr">
        <is>
          <t>OFF_Q065</t>
        </is>
      </c>
      <c r="C59" s="7" t="inlineStr">
        <is>
          <t>Климат</t>
        </is>
      </c>
      <c r="D59" s="7" t="inlineStr"/>
      <c r="E59" s="8" t="inlineStr">
        <is>
          <t>Я чувствую себя частью общей команды «Дымов».</t>
        </is>
      </c>
      <c r="F59" s="7" t="inlineStr">
        <is>
          <t>Шкала 1–5</t>
        </is>
      </c>
      <c r="G59" s="7" t="inlineStr">
        <is>
          <t>1 — полностью не согласен; 5 — полностью согласен</t>
        </is>
      </c>
      <c r="H59" s="6" t="inlineStr">
        <is>
          <t>Да</t>
        </is>
      </c>
      <c r="I59" s="7" t="inlineStr">
        <is>
          <t>Всем</t>
        </is>
      </c>
      <c r="J59" s="7" t="inlineStr">
        <is>
          <t>65 / Сохранён</t>
        </is>
      </c>
    </row>
    <row r="60" ht="30" customHeight="1">
      <c r="A60" s="5" t="n">
        <v>55</v>
      </c>
      <c r="B60" s="6" t="inlineStr">
        <is>
          <t>OFF_Q066</t>
        </is>
      </c>
      <c r="C60" s="7" t="inlineStr">
        <is>
          <t>Климат</t>
        </is>
      </c>
      <c r="D60" s="7" t="inlineStr"/>
      <c r="E60" s="8" t="inlineStr">
        <is>
          <t>Я могу сообщить о рабочей проблеме или риске, не опасаясь, что сам факт такого сообщения приведёт к негативному отношению ко мне.</t>
        </is>
      </c>
      <c r="F60" s="7" t="inlineStr">
        <is>
          <t>Шкала 1–5</t>
        </is>
      </c>
      <c r="G60" s="7" t="inlineStr">
        <is>
          <t>1 — полностью не согласен; 5 — полностью согласен</t>
        </is>
      </c>
      <c r="H60" s="6" t="inlineStr">
        <is>
          <t>Да</t>
        </is>
      </c>
      <c r="I60" s="7" t="inlineStr">
        <is>
          <t>Всем</t>
        </is>
      </c>
      <c r="J60" s="7" t="inlineStr">
        <is>
          <t>66 / Сохранён</t>
        </is>
      </c>
    </row>
    <row r="61" ht="30" customHeight="1">
      <c r="A61" s="5" t="n">
        <v>56</v>
      </c>
      <c r="B61" s="6" t="inlineStr">
        <is>
          <t>OFF_Q067</t>
        </is>
      </c>
      <c r="C61" s="7" t="inlineStr">
        <is>
          <t>Климат</t>
        </is>
      </c>
      <c r="D61" s="7" t="inlineStr"/>
      <c r="E61" s="8" t="inlineStr">
        <is>
          <t>Если я допускаю ошибку, я могу открыто сообщить о ней и сосредоточиться на её исправлении, не пытаясь её скрыть.</t>
        </is>
      </c>
      <c r="F61" s="7" t="inlineStr">
        <is>
          <t>Шкала 1–5</t>
        </is>
      </c>
      <c r="G61" s="7" t="inlineStr">
        <is>
          <t>1 — полностью не согласен; 5 — полностью согласен</t>
        </is>
      </c>
      <c r="H61" s="6" t="inlineStr">
        <is>
          <t>Да</t>
        </is>
      </c>
      <c r="I61" s="7" t="inlineStr">
        <is>
          <t>Всем</t>
        </is>
      </c>
      <c r="J61" s="7" t="inlineStr">
        <is>
          <t>67 / Сохранён</t>
        </is>
      </c>
    </row>
    <row r="62" ht="30" customHeight="1">
      <c r="A62" s="5" t="n">
        <v>57</v>
      </c>
      <c r="B62" s="6" t="inlineStr">
        <is>
          <t>OFF_Q069</t>
        </is>
      </c>
      <c r="C62" s="7" t="inlineStr">
        <is>
          <t>Климат</t>
        </is>
      </c>
      <c r="D62" s="7" t="inlineStr"/>
      <c r="E62" s="8" t="inlineStr">
        <is>
          <t>Я могу обратиться за помощью к коллегам или руководителю, если самостоятельно не могу решить рабочую задачу.</t>
        </is>
      </c>
      <c r="F62" s="7" t="inlineStr">
        <is>
          <t>Шкала 1–5</t>
        </is>
      </c>
      <c r="G62" s="7" t="inlineStr">
        <is>
          <t>1 — полностью не согласен; 5 — полностью согласен</t>
        </is>
      </c>
      <c r="H62" s="6" t="inlineStr">
        <is>
          <t>Да</t>
        </is>
      </c>
      <c r="I62" s="7" t="inlineStr">
        <is>
          <t>Всем</t>
        </is>
      </c>
      <c r="J62" s="7" t="inlineStr">
        <is>
          <t>69 / Сохранён</t>
        </is>
      </c>
    </row>
    <row r="63" ht="30" customHeight="1">
      <c r="A63" s="5" t="n">
        <v>58</v>
      </c>
      <c r="B63" s="6" t="inlineStr">
        <is>
          <t>OFF_Q071</t>
        </is>
      </c>
      <c r="C63" s="7" t="inlineStr">
        <is>
          <t>Климат</t>
        </is>
      </c>
      <c r="D63" s="7" t="inlineStr"/>
      <c r="E63" s="8" t="inlineStr">
        <is>
          <t>Есть ли ситуации, в которых сотруднику сложно открыто сообщить о проблеме, ошибке или попросить помощи? Что этому мешает?</t>
        </is>
      </c>
      <c r="F63" s="7" t="inlineStr">
        <is>
          <t>Длинный текст</t>
        </is>
      </c>
      <c r="G63" s="7" t="n"/>
      <c r="H63" s="6" t="inlineStr">
        <is>
          <t>Нет</t>
        </is>
      </c>
      <c r="I63" s="7" t="inlineStr">
        <is>
          <t>Всем</t>
        </is>
      </c>
      <c r="J63" s="7" t="inlineStr">
        <is>
          <t>71 / Сохранён</t>
        </is>
      </c>
    </row>
    <row r="64" ht="30" customHeight="1">
      <c r="A64" s="13" t="n">
        <v>59</v>
      </c>
      <c r="B64" s="14" t="inlineStr">
        <is>
          <t>OFF_LOC_01</t>
        </is>
      </c>
      <c r="C64" s="15" t="inlineStr">
        <is>
          <t>Условия</t>
        </is>
      </c>
      <c r="D64" s="15" t="inlineStr">
        <is>
          <t>Площадка</t>
        </is>
      </c>
      <c r="E64" s="16" t="inlineStr">
        <is>
          <t>Укажите город и площадку / адрес, где вы преимущественно работаете.</t>
        </is>
      </c>
      <c r="F64" s="15" t="inlineStr">
        <is>
          <t>Короткий текст</t>
        </is>
      </c>
      <c r="G64" s="15" t="n"/>
      <c r="H64" s="14" t="inlineStr">
        <is>
          <t>Да</t>
        </is>
      </c>
      <c r="I64" s="15" t="inlineStr">
        <is>
          <t>Всем</t>
        </is>
      </c>
      <c r="J64" s="15" t="inlineStr">
        <is>
          <t>NEW / Новый</t>
        </is>
      </c>
    </row>
    <row r="65" ht="30" customHeight="1">
      <c r="A65" s="5" t="n">
        <v>60</v>
      </c>
      <c r="B65" s="6" t="inlineStr">
        <is>
          <t>OFF_Q074</t>
        </is>
      </c>
      <c r="C65" s="7" t="inlineStr">
        <is>
          <t>Условия</t>
        </is>
      </c>
      <c r="D65" s="7" t="inlineStr"/>
      <c r="E65" s="8" t="inlineStr">
        <is>
          <t>Есть ли у вас возможность сосредоточиться, когда задача требует тишины?</t>
        </is>
      </c>
      <c r="F65" s="7" t="inlineStr">
        <is>
          <t>Шкала 1–5</t>
        </is>
      </c>
      <c r="G65" s="7" t="inlineStr">
        <is>
          <t>1 — практически нет; 5 — полностью есть</t>
        </is>
      </c>
      <c r="H65" s="6" t="inlineStr">
        <is>
          <t>Да</t>
        </is>
      </c>
      <c r="I65" s="7" t="inlineStr">
        <is>
          <t>Всем</t>
        </is>
      </c>
      <c r="J65" s="7" t="inlineStr">
        <is>
          <t>74 / Сохранён</t>
        </is>
      </c>
    </row>
    <row r="66" ht="30" customHeight="1">
      <c r="A66" s="5" t="n">
        <v>61</v>
      </c>
      <c r="B66" s="6" t="inlineStr">
        <is>
          <t>OFF_Q079</t>
        </is>
      </c>
      <c r="C66" s="7" t="inlineStr">
        <is>
          <t>Условия / обучение</t>
        </is>
      </c>
      <c r="D66" s="7" t="inlineStr"/>
      <c r="E66" s="8" t="inlineStr">
        <is>
          <t>Есть ли у вас потребность в дополнительном обучении в рамках вашей должности (тренинги, повышение квалификации, профессиональные курсы и т. д.)?</t>
        </is>
      </c>
      <c r="F66" s="7" t="inlineStr">
        <is>
          <t>Один вариант</t>
        </is>
      </c>
      <c r="G66" s="7" t="inlineStr">
        <is>
          <t>Да, есть высокая потребность; Скорее да; Скорее нет; Нет, дополнительное обучение не требуется; Затрудняюсь ответить</t>
        </is>
      </c>
      <c r="H66" s="6" t="inlineStr">
        <is>
          <t>Нет</t>
        </is>
      </c>
      <c r="I66" s="7" t="inlineStr">
        <is>
          <t>Всем</t>
        </is>
      </c>
      <c r="J66" s="7" t="inlineStr">
        <is>
          <t>79 / Сохранён</t>
        </is>
      </c>
    </row>
    <row r="67" ht="30" customHeight="1">
      <c r="A67" s="5" t="n">
        <v>62</v>
      </c>
      <c r="B67" s="6" t="inlineStr">
        <is>
          <t>OFF_Q080</t>
        </is>
      </c>
      <c r="C67" s="7" t="inlineStr">
        <is>
          <t>Условия</t>
        </is>
      </c>
      <c r="D67" s="7" t="inlineStr"/>
      <c r="E67" s="8" t="inlineStr">
        <is>
          <t>Моё рабочее место организовано удобно для выполнения задач.</t>
        </is>
      </c>
      <c r="F67" s="7" t="inlineStr">
        <is>
          <t>Шкала 1–5</t>
        </is>
      </c>
      <c r="G67" s="7" t="inlineStr">
        <is>
          <t>1 — полностью не согласен; 5 — полностью согласен</t>
        </is>
      </c>
      <c r="H67" s="6" t="inlineStr">
        <is>
          <t>Да</t>
        </is>
      </c>
      <c r="I67" s="7" t="inlineStr">
        <is>
          <t>Всем</t>
        </is>
      </c>
      <c r="J67" s="7" t="inlineStr">
        <is>
          <t>80 / Сохранён</t>
        </is>
      </c>
    </row>
    <row r="68" ht="30" customHeight="1">
      <c r="A68" s="5" t="n">
        <v>63</v>
      </c>
      <c r="B68" s="6" t="inlineStr">
        <is>
          <t>OFF_Q081</t>
        </is>
      </c>
      <c r="C68" s="7" t="inlineStr">
        <is>
          <t>Условия</t>
        </is>
      </c>
      <c r="D68" s="7" t="inlineStr"/>
      <c r="E68" s="8" t="inlineStr">
        <is>
          <t>Мне хватает необходимой техники, оборудования и рабочих инструментов.</t>
        </is>
      </c>
      <c r="F68" s="7" t="inlineStr">
        <is>
          <t>Шкала 1–5</t>
        </is>
      </c>
      <c r="G68" s="7" t="inlineStr">
        <is>
          <t>1 — полностью не согласен; 5 — полностью согласен</t>
        </is>
      </c>
      <c r="H68" s="6" t="inlineStr">
        <is>
          <t>Да</t>
        </is>
      </c>
      <c r="I68" s="7" t="inlineStr">
        <is>
          <t>Всем</t>
        </is>
      </c>
      <c r="J68" s="7" t="inlineStr">
        <is>
          <t>81 / Сохранён</t>
        </is>
      </c>
    </row>
    <row r="69" ht="30" customHeight="1">
      <c r="A69" s="5" t="n">
        <v>64</v>
      </c>
      <c r="B69" s="6" t="inlineStr">
        <is>
          <t>OFF_Q082</t>
        </is>
      </c>
      <c r="C69" s="7" t="inlineStr">
        <is>
          <t>Условия</t>
        </is>
      </c>
      <c r="D69" s="7" t="inlineStr"/>
      <c r="E69" s="8" t="inlineStr">
        <is>
          <t>Техника и оборудование, которыми я пользуюсь, находятся в подходящем рабочем состоянии.</t>
        </is>
      </c>
      <c r="F69" s="7" t="inlineStr">
        <is>
          <t>Шкала 1–5</t>
        </is>
      </c>
      <c r="G69" s="7" t="inlineStr">
        <is>
          <t>1 — полностью не согласен; 5 — полностью согласен</t>
        </is>
      </c>
      <c r="H69" s="6" t="inlineStr">
        <is>
          <t>Нет</t>
        </is>
      </c>
      <c r="I69" s="7" t="inlineStr">
        <is>
          <t>Всем</t>
        </is>
      </c>
      <c r="J69" s="7" t="inlineStr">
        <is>
          <t>82 / Сохранён</t>
        </is>
      </c>
    </row>
    <row r="70" ht="30" customHeight="1">
      <c r="A70" s="5" t="n">
        <v>65</v>
      </c>
      <c r="B70" s="6" t="inlineStr">
        <is>
          <t>OFF_Q083</t>
        </is>
      </c>
      <c r="C70" s="7" t="inlineStr">
        <is>
          <t>Условия</t>
        </is>
      </c>
      <c r="D70" s="7" t="inlineStr"/>
      <c r="E70" s="8" t="inlineStr">
        <is>
          <t>Меня устраивает место для приёма пищи — корпоративная столовая.</t>
        </is>
      </c>
      <c r="F70" s="7" t="inlineStr">
        <is>
          <t>Шкала 1–5 + Н/П</t>
        </is>
      </c>
      <c r="G70" s="7" t="inlineStr">
        <is>
          <t>1 — совершенно не устраивает; 5 — полностью устраивает; Не пользуюсь</t>
        </is>
      </c>
      <c r="H70" s="6" t="inlineStr">
        <is>
          <t>Нет</t>
        </is>
      </c>
      <c r="I70" s="7" t="inlineStr">
        <is>
          <t>Всем</t>
        </is>
      </c>
      <c r="J70" s="7" t="inlineStr">
        <is>
          <t>83 / Сохранён</t>
        </is>
      </c>
    </row>
    <row r="71" ht="30" customHeight="1">
      <c r="A71" s="5" t="n">
        <v>66</v>
      </c>
      <c r="B71" s="6" t="inlineStr">
        <is>
          <t>OFF_Q084</t>
        </is>
      </c>
      <c r="C71" s="7" t="inlineStr">
        <is>
          <t>Условия</t>
        </is>
      </c>
      <c r="D71" s="7" t="inlineStr"/>
      <c r="E71" s="8" t="inlineStr">
        <is>
          <t>Меня устраивает качество питания, если я им пользуюсь.</t>
        </is>
      </c>
      <c r="F71" s="7" t="inlineStr">
        <is>
          <t>Шкала 1–5 + Н/П</t>
        </is>
      </c>
      <c r="G71" s="7" t="inlineStr">
        <is>
          <t>1 — совершенно не устраивает; 5 — полностью устраивает; Не пользуюсь</t>
        </is>
      </c>
      <c r="H71" s="6" t="inlineStr">
        <is>
          <t>Нет</t>
        </is>
      </c>
      <c r="I71" s="7" t="inlineStr">
        <is>
          <t>Всем</t>
        </is>
      </c>
      <c r="J71" s="7" t="inlineStr">
        <is>
          <t>84 / Сохранён</t>
        </is>
      </c>
    </row>
    <row r="72" ht="30" customHeight="1">
      <c r="A72" s="5" t="n">
        <v>67</v>
      </c>
      <c r="B72" s="6" t="inlineStr">
        <is>
          <t>OFF_Q085</t>
        </is>
      </c>
      <c r="C72" s="7" t="inlineStr">
        <is>
          <t>Условия</t>
        </is>
      </c>
      <c r="D72" s="7" t="inlineStr"/>
      <c r="E72" s="8" t="inlineStr">
        <is>
          <t>У меня есть подходящее место для отдыха / короткого восстановления в течение рабочего дня.</t>
        </is>
      </c>
      <c r="F72" s="7" t="inlineStr">
        <is>
          <t>Шкала 1–5</t>
        </is>
      </c>
      <c r="G72" s="7" t="inlineStr">
        <is>
          <t>1 — полностью не согласен; 5 — полностью согласен</t>
        </is>
      </c>
      <c r="H72" s="6" t="inlineStr">
        <is>
          <t>Нет</t>
        </is>
      </c>
      <c r="I72" s="7" t="inlineStr">
        <is>
          <t>Всем</t>
        </is>
      </c>
      <c r="J72" s="7" t="inlineStr">
        <is>
          <t>85 / Сохранён</t>
        </is>
      </c>
    </row>
    <row r="73" ht="30" customHeight="1">
      <c r="A73" s="5" t="n">
        <v>68</v>
      </c>
      <c r="B73" s="6" t="inlineStr">
        <is>
          <t>OFF_Q086</t>
        </is>
      </c>
      <c r="C73" s="7" t="inlineStr">
        <is>
          <t>Условия</t>
        </is>
      </c>
      <c r="D73" s="7" t="inlineStr"/>
      <c r="E73" s="8" t="inlineStr">
        <is>
          <t>Меня устраивает мой график работы.</t>
        </is>
      </c>
      <c r="F73" s="7" t="inlineStr">
        <is>
          <t>Шкала 1–5</t>
        </is>
      </c>
      <c r="G73" s="7" t="inlineStr">
        <is>
          <t>1 — совершенно не устраивает; 5 — полностью устраивает</t>
        </is>
      </c>
      <c r="H73" s="6" t="inlineStr">
        <is>
          <t>Нет</t>
        </is>
      </c>
      <c r="I73" s="7" t="inlineStr">
        <is>
          <t>Всем</t>
        </is>
      </c>
      <c r="J73" s="7" t="inlineStr">
        <is>
          <t>86 / Сохранён</t>
        </is>
      </c>
    </row>
    <row r="74" ht="30" customHeight="1">
      <c r="A74" s="5" t="n">
        <v>69</v>
      </c>
      <c r="B74" s="6" t="inlineStr">
        <is>
          <t>OFF_Q087</t>
        </is>
      </c>
      <c r="C74" s="7" t="inlineStr">
        <is>
          <t>Условия</t>
        </is>
      </c>
      <c r="D74" s="7" t="inlineStr"/>
      <c r="E74" s="8" t="inlineStr">
        <is>
          <t>Меня устраивает организация корпоративного транспорта, если я им пользуюсь.</t>
        </is>
      </c>
      <c r="F74" s="7" t="inlineStr">
        <is>
          <t>Шкала 1–5 + Н/П</t>
        </is>
      </c>
      <c r="G74" s="7" t="inlineStr">
        <is>
          <t>1 — совершенно не устраивает; 5 — полностью устраивает; Не пользуюсь</t>
        </is>
      </c>
      <c r="H74" s="6" t="inlineStr">
        <is>
          <t>Нет</t>
        </is>
      </c>
      <c r="I74" s="7" t="inlineStr">
        <is>
          <t>Всем</t>
        </is>
      </c>
      <c r="J74" s="7" t="inlineStr">
        <is>
          <t>87 / Сохранён</t>
        </is>
      </c>
    </row>
    <row r="75" ht="30" customHeight="1">
      <c r="A75" s="9" t="n">
        <v>70</v>
      </c>
      <c r="B75" s="10" t="inlineStr">
        <is>
          <t>OFF_Q088</t>
        </is>
      </c>
      <c r="C75" s="11" t="inlineStr">
        <is>
          <t>Условия</t>
        </is>
      </c>
      <c r="D75" s="11" t="inlineStr"/>
      <c r="E75" s="12" t="inlineStr">
        <is>
          <t>Что в офисных условиях хотелось бы улучшить в первую очередь?</t>
        </is>
      </c>
      <c r="F75" s="11" t="inlineStr">
        <is>
          <t>Несколько вариантов, до 3</t>
        </is>
      </c>
      <c r="G75" s="11" t="inlineStr">
        <is>
          <t>Оборудовать кофе-зону; Установить автомат/вендинговый холодильник с готовой едой; Улучшить корпоративную столовую / место для приёма пищи; Оборудовать зону отдыха на улице; Улучшить рабочее место: мебель, освещение, температура; Улучшить переговорные и общие зоны; Улучшить санитарно-бытовые условия; Снизить уровень шума / создать тихие зоны для концентрации; Ничего менять не нужно; Другое</t>
        </is>
      </c>
      <c r="H75" s="10" t="inlineStr">
        <is>
          <t>Да</t>
        </is>
      </c>
      <c r="I75" s="11" t="inlineStr">
        <is>
          <t>Всем</t>
        </is>
      </c>
      <c r="J75" s="11" t="inlineStr">
        <is>
          <t>88 / Уточнён</t>
        </is>
      </c>
    </row>
    <row r="76" ht="54" customHeight="1">
      <c r="A76" s="5" t="n">
        <v>71</v>
      </c>
      <c r="B76" s="6" t="inlineStr">
        <is>
          <t>OFF_Q089</t>
        </is>
      </c>
      <c r="C76" s="7" t="inlineStr">
        <is>
          <t>Самочувствие и благополучие</t>
        </is>
      </c>
      <c r="D76" s="7" t="inlineStr"/>
      <c r="E76" s="8" t="inlineStr">
        <is>
          <t>Как бы вы в целом оценили своё настроение в течение последних 4 недель?</t>
        </is>
      </c>
      <c r="F76" s="7" t="inlineStr">
        <is>
          <t>Шкала 1–5</t>
        </is>
      </c>
      <c r="G76" s="7" t="inlineStr">
        <is>
          <t>1 — преимущественно очень плохое; 5 — преимущественно очень хорошее</t>
        </is>
      </c>
      <c r="H76" s="6" t="inlineStr">
        <is>
          <t>Да</t>
        </is>
      </c>
      <c r="I76" s="7" t="inlineStr">
        <is>
          <t>Всем</t>
        </is>
      </c>
      <c r="J76" s="7" t="inlineStr">
        <is>
          <t>89 / Сохранён</t>
        </is>
      </c>
    </row>
    <row r="77" ht="30" customHeight="1">
      <c r="A77" s="5" t="n">
        <v>72</v>
      </c>
      <c r="B77" s="6" t="inlineStr">
        <is>
          <t>OFF_Q091</t>
        </is>
      </c>
      <c r="C77" s="7" t="inlineStr">
        <is>
          <t>Самочувствие и благополучие</t>
        </is>
      </c>
      <c r="D77" s="7" t="inlineStr"/>
      <c r="E77" s="8" t="inlineStr">
        <is>
          <t>Как часто в течение последних 4 недель вы чувствовали эмоциональное истощение или ощущение, что сил становится недостаточно?</t>
        </is>
      </c>
      <c r="F77" s="7" t="inlineStr">
        <is>
          <t>Один вариант</t>
        </is>
      </c>
      <c r="G77" s="7" t="inlineStr">
        <is>
          <t>Никогда; Редко; Иногда; Часто; Практически постоянно</t>
        </is>
      </c>
      <c r="H77" s="6" t="inlineStr">
        <is>
          <t>Да</t>
        </is>
      </c>
      <c r="I77" s="7" t="inlineStr">
        <is>
          <t>Всем</t>
        </is>
      </c>
      <c r="J77" s="7" t="inlineStr">
        <is>
          <t>91 / Сохранён</t>
        </is>
      </c>
    </row>
    <row r="78" ht="30" customHeight="1">
      <c r="A78" s="5" t="n">
        <v>73</v>
      </c>
      <c r="B78" s="6" t="inlineStr">
        <is>
          <t>OFF_Q094</t>
        </is>
      </c>
      <c r="C78" s="7" t="inlineStr">
        <is>
          <t>Самочувствие и благополучие</t>
        </is>
      </c>
      <c r="D78" s="7" t="inlineStr"/>
      <c r="E78" s="8" t="inlineStr">
        <is>
          <t>После отдыха мне обычно удаётся восстановить силы.</t>
        </is>
      </c>
      <c r="F78" s="7" t="inlineStr">
        <is>
          <t>Шкала 1–5</t>
        </is>
      </c>
      <c r="G78" s="7" t="inlineStr">
        <is>
          <t>1 — полностью не согласен; 5 — полностью согласен</t>
        </is>
      </c>
      <c r="H78" s="6" t="inlineStr">
        <is>
          <t>Да</t>
        </is>
      </c>
      <c r="I78" s="7" t="inlineStr">
        <is>
          <t>Всем</t>
        </is>
      </c>
      <c r="J78" s="7" t="inlineStr">
        <is>
          <t>94 / Сохранён</t>
        </is>
      </c>
    </row>
    <row r="79" ht="30" customHeight="1">
      <c r="A79" s="5" t="n">
        <v>74</v>
      </c>
      <c r="B79" s="6" t="inlineStr">
        <is>
          <t>OFF_Q095</t>
        </is>
      </c>
      <c r="C79" s="7" t="inlineStr">
        <is>
          <t>Самочувствие и благополучие</t>
        </is>
      </c>
      <c r="D79" s="7" t="inlineStr"/>
      <c r="E79" s="8" t="inlineStr">
        <is>
          <t>Как бы вы в целом оценили своё физическое самочувствие сейчас?</t>
        </is>
      </c>
      <c r="F79" s="7" t="inlineStr">
        <is>
          <t>Шкала 1–5 + отказ</t>
        </is>
      </c>
      <c r="G79" s="7" t="inlineStr">
        <is>
          <t>1 — очень плохое; 5 — очень хорошее; Предпочитаю не отвечать</t>
        </is>
      </c>
      <c r="H79" s="6" t="inlineStr">
        <is>
          <t>Нет</t>
        </is>
      </c>
      <c r="I79" s="7" t="inlineStr">
        <is>
          <t>Всем</t>
        </is>
      </c>
      <c r="J79" s="7" t="inlineStr">
        <is>
          <t>95 / Сохранён</t>
        </is>
      </c>
    </row>
    <row r="80" ht="30" customHeight="1">
      <c r="A80" s="5" t="n">
        <v>75</v>
      </c>
      <c r="B80" s="6" t="inlineStr">
        <is>
          <t>OFF_Q096</t>
        </is>
      </c>
      <c r="C80" s="7" t="inlineStr">
        <is>
          <t>Самочувствие и благополучие</t>
        </is>
      </c>
      <c r="D80" s="7" t="inlineStr"/>
      <c r="E80" s="8" t="inlineStr">
        <is>
          <t>Насколько финансовые вопросы сейчас являются для вас источником напряжения или беспокойства?</t>
        </is>
      </c>
      <c r="F80" s="7" t="inlineStr">
        <is>
          <t>Шкала 1–5 + отказ</t>
        </is>
      </c>
      <c r="G80" s="7" t="inlineStr">
        <is>
          <t>1 — совершенно не являются; 5 — являются очень сильным источником напряжения; Предпочитаю не отвечать</t>
        </is>
      </c>
      <c r="H80" s="6" t="inlineStr">
        <is>
          <t>Нет</t>
        </is>
      </c>
      <c r="I80" s="7" t="inlineStr">
        <is>
          <t>Всем</t>
        </is>
      </c>
      <c r="J80" s="7" t="inlineStr">
        <is>
          <t>96 / Сохранён</t>
        </is>
      </c>
    </row>
    <row r="81" ht="30" customHeight="1">
      <c r="A81" s="5" t="n">
        <v>76</v>
      </c>
      <c r="B81" s="6" t="inlineStr">
        <is>
          <t>OFF_Q097</t>
        </is>
      </c>
      <c r="C81" s="7" t="inlineStr">
        <is>
          <t>Самочувствие и благополучие</t>
        </is>
      </c>
      <c r="D81" s="7" t="inlineStr"/>
      <c r="E81" s="8" t="inlineStr">
        <is>
          <t>Что сейчас сильнее всего влияет на ваше общее самочувствие? Выберите до 3 вариантов.</t>
        </is>
      </c>
      <c r="F81" s="7" t="inlineStr">
        <is>
          <t>Несколько вариантов, до 3</t>
        </is>
      </c>
      <c r="G81" s="7" t="inlineStr">
        <is>
          <t>Рабочая нагрузка; Содержание работы; Неопределённость / частые изменения; Отношения с руководителем; Отношения с коллегами; Финансовые вопросы; Состояние здоровья; Недостаток отдыха / сна; Семейные или личные обстоятельства; Длительная дорога на работу; Причины, не связанные с работой; Затрудняюсь ответить; Предпочитаю не отвечать; Другое</t>
        </is>
      </c>
      <c r="H81" s="6" t="inlineStr">
        <is>
          <t>Да</t>
        </is>
      </c>
      <c r="I81" s="7" t="inlineStr">
        <is>
          <t>Всем</t>
        </is>
      </c>
      <c r="J81" s="7" t="inlineStr">
        <is>
          <t>97 / Сохранён</t>
        </is>
      </c>
    </row>
    <row r="82" ht="54" customHeight="1">
      <c r="A82" s="5" t="n">
        <v>77</v>
      </c>
      <c r="B82" s="6" t="inlineStr">
        <is>
          <t>OFF_Q099</t>
        </is>
      </c>
      <c r="C82" s="7" t="inlineStr">
        <is>
          <t>Самочувствие и благополучие</t>
        </is>
      </c>
      <c r="D82" s="7" t="inlineStr"/>
      <c r="E82" s="8" t="inlineStr">
        <is>
          <t>Что со стороны компании или организации работы могло бы улучшить ситуацию?</t>
        </is>
      </c>
      <c r="F82" s="7" t="inlineStr">
        <is>
          <t>Длинный текст</t>
        </is>
      </c>
      <c r="G82" s="7" t="n"/>
      <c r="H82" s="6" t="inlineStr">
        <is>
          <t>Нет</t>
        </is>
      </c>
      <c r="I82" s="7" t="inlineStr">
        <is>
          <t>Всем</t>
        </is>
      </c>
      <c r="J82" s="7" t="inlineStr">
        <is>
          <t>99 / Сохранён</t>
        </is>
      </c>
    </row>
    <row r="83" ht="30" customHeight="1">
      <c r="A83" s="5" t="n">
        <v>78</v>
      </c>
      <c r="B83" s="6" t="inlineStr">
        <is>
          <t>OFF_Q100</t>
        </is>
      </c>
      <c r="C83" s="7" t="inlineStr">
        <is>
          <t>Гордость за компанию</t>
        </is>
      </c>
      <c r="D83" s="7" t="inlineStr"/>
      <c r="E83" s="8" t="inlineStr">
        <is>
          <t>Мне приятно рассказывать другим людям о том, где я работаю.</t>
        </is>
      </c>
      <c r="F83" s="7" t="inlineStr">
        <is>
          <t>Шкала 1–5</t>
        </is>
      </c>
      <c r="G83" s="7" t="inlineStr">
        <is>
          <t>1 — полностью не согласен; 5 — полностью согласен</t>
        </is>
      </c>
      <c r="H83" s="6" t="inlineStr">
        <is>
          <t>Да</t>
        </is>
      </c>
      <c r="I83" s="7" t="inlineStr">
        <is>
          <t>Всем</t>
        </is>
      </c>
      <c r="J83" s="7" t="inlineStr">
        <is>
          <t>100 / Сохранён</t>
        </is>
      </c>
    </row>
    <row r="84" ht="30" customHeight="1">
      <c r="A84" s="5" t="n">
        <v>79</v>
      </c>
      <c r="B84" s="6" t="inlineStr">
        <is>
          <t>OFF_Q102</t>
        </is>
      </c>
      <c r="C84" s="7" t="inlineStr">
        <is>
          <t>Гордость за компанию</t>
        </is>
      </c>
      <c r="D84" s="7" t="inlineStr"/>
      <c r="E84" s="8" t="inlineStr">
        <is>
          <t>Что в «Дымов» вызывает у вас наибольшую гордость?</t>
        </is>
      </c>
      <c r="F84" s="7" t="inlineStr">
        <is>
          <t>Длинный текст</t>
        </is>
      </c>
      <c r="G84" s="7" t="n"/>
      <c r="H84" s="6" t="inlineStr">
        <is>
          <t>Нет</t>
        </is>
      </c>
      <c r="I84" s="7" t="inlineStr">
        <is>
          <t>Всем</t>
        </is>
      </c>
      <c r="J84" s="7" t="inlineStr">
        <is>
          <t>102 / Сохранён</t>
        </is>
      </c>
    </row>
    <row r="85" ht="30" customHeight="1">
      <c r="A85" s="5" t="n">
        <v>80</v>
      </c>
      <c r="B85" s="6" t="inlineStr">
        <is>
          <t>OFF_Q103</t>
        </is>
      </c>
      <c r="C85" s="7" t="inlineStr">
        <is>
          <t>Гордость за компанию</t>
        </is>
      </c>
      <c r="D85" s="7" t="inlineStr"/>
      <c r="E85" s="8" t="inlineStr">
        <is>
          <t>Какие сильные стороны «Дымов» для вас наиболее важны?</t>
        </is>
      </c>
      <c r="F85" s="7" t="inlineStr">
        <is>
          <t>Несколько вариантов, до 5</t>
        </is>
      </c>
      <c r="G85" s="7" t="inlineStr">
        <is>
          <t>Стабильность компании; Известный бренд; Продукция компании; Коллектив; Руководитель; Уровень заработной платы; Социальные гарантии; Возможность профессионального развития; Возможность карьерного роста; Условия труда; Отношение к сотрудникам; Атмосфера в компании; Масштаб и возможности компании; Интересные задачи; Возможность проявлять инициативу; Другое</t>
        </is>
      </c>
      <c r="H85" s="6" t="inlineStr">
        <is>
          <t>Да</t>
        </is>
      </c>
      <c r="I85" s="7" t="inlineStr">
        <is>
          <t>Всем</t>
        </is>
      </c>
      <c r="J85" s="7" t="inlineStr">
        <is>
          <t>103 / Сохранён</t>
        </is>
      </c>
    </row>
    <row r="86" ht="54" customHeight="1">
      <c r="A86" s="5" t="n">
        <v>81</v>
      </c>
      <c r="B86" s="6" t="inlineStr">
        <is>
          <t>OFF_Q105</t>
        </is>
      </c>
      <c r="C86" s="7" t="inlineStr">
        <is>
          <t>Насколько человеку подходит компания</t>
        </is>
      </c>
      <c r="D86" s="7" t="inlineStr"/>
      <c r="E86" s="8" t="inlineStr">
        <is>
          <t>Мне подходит принятый в компании стиль работы и взаимодействия.</t>
        </is>
      </c>
      <c r="F86" s="7" t="inlineStr">
        <is>
          <t>Шкала 1–5</t>
        </is>
      </c>
      <c r="G86" s="7" t="inlineStr">
        <is>
          <t>1 — полностью не согласен; 5 — полностью согласен</t>
        </is>
      </c>
      <c r="H86" s="6" t="inlineStr">
        <is>
          <t>Да</t>
        </is>
      </c>
      <c r="I86" s="7" t="inlineStr">
        <is>
          <t>Всем</t>
        </is>
      </c>
      <c r="J86" s="7" t="inlineStr">
        <is>
          <t>105 / Сохранён</t>
        </is>
      </c>
    </row>
    <row r="87" ht="30" customHeight="1">
      <c r="A87" s="5" t="n">
        <v>82</v>
      </c>
      <c r="B87" s="6" t="inlineStr">
        <is>
          <t>OFF_Q106</t>
        </is>
      </c>
      <c r="C87" s="7" t="inlineStr">
        <is>
          <t>Насколько человеку подходит компания</t>
        </is>
      </c>
      <c r="D87" s="7" t="inlineStr"/>
      <c r="E87" s="8" t="inlineStr">
        <is>
          <t>Мне комфортны темп работы и способы принятия решений в компании.</t>
        </is>
      </c>
      <c r="F87" s="7" t="inlineStr">
        <is>
          <t>Шкала 1–5</t>
        </is>
      </c>
      <c r="G87" s="7" t="inlineStr">
        <is>
          <t>1 — полностью не согласен; 5 — полностью согласен</t>
        </is>
      </c>
      <c r="H87" s="6" t="inlineStr">
        <is>
          <t>Да</t>
        </is>
      </c>
      <c r="I87" s="7" t="inlineStr">
        <is>
          <t>Всем</t>
        </is>
      </c>
      <c r="J87" s="7" t="inlineStr">
        <is>
          <t>106 / Сохранён</t>
        </is>
      </c>
    </row>
    <row r="88" ht="30" customHeight="1">
      <c r="A88" s="5" t="n">
        <v>83</v>
      </c>
      <c r="B88" s="6" t="inlineStr">
        <is>
          <t>OFF_Q107</t>
        </is>
      </c>
      <c r="C88" s="7" t="inlineStr">
        <is>
          <t>Насколько человеку подходит компания</t>
        </is>
      </c>
      <c r="D88" s="7" t="inlineStr"/>
      <c r="E88" s="8" t="inlineStr">
        <is>
          <t>Я чувствую, что могу быть успешным сотрудником именно в этой компании.</t>
        </is>
      </c>
      <c r="F88" s="7" t="inlineStr">
        <is>
          <t>Шкала 1–5</t>
        </is>
      </c>
      <c r="G88" s="7" t="inlineStr">
        <is>
          <t>1 — полностью не согласен; 5 — полностью согласен</t>
        </is>
      </c>
      <c r="H88" s="6" t="inlineStr">
        <is>
          <t>Да</t>
        </is>
      </c>
      <c r="I88" s="7" t="inlineStr">
        <is>
          <t>Всем</t>
        </is>
      </c>
      <c r="J88" s="7" t="inlineStr">
        <is>
          <t>107 / Сохранён</t>
        </is>
      </c>
    </row>
    <row r="89" ht="30" customHeight="1">
      <c r="A89" s="5" t="n">
        <v>84</v>
      </c>
      <c r="B89" s="6" t="inlineStr">
        <is>
          <t>OFF_Q110</t>
        </is>
      </c>
      <c r="C89" s="7" t="inlineStr">
        <is>
          <t>Насколько человеку подходит компания</t>
        </is>
      </c>
      <c r="D89" s="7" t="inlineStr"/>
      <c r="E89" s="8" t="inlineStr">
        <is>
          <t>Какие слабые стороны сегодня сильнее всего снижают вашу вовлечённость?</t>
        </is>
      </c>
      <c r="F89" s="7" t="inlineStr">
        <is>
          <t>Несколько вариантов, до 5</t>
        </is>
      </c>
      <c r="G89" s="7" t="inlineStr">
        <is>
          <t>Сложные процессы; Долгие согласования; Высокая нагрузка; Недостаток сотрудников; Недостаток информации; Взаимодействие между подразделениями; Отношение руководителей; Несправедливая оценка; Недостаток признания; Недостаток развития; Условия работы; Система оплаты / премирования; Другое</t>
        </is>
      </c>
      <c r="H89" s="6" t="inlineStr">
        <is>
          <t>Да</t>
        </is>
      </c>
      <c r="I89" s="7" t="inlineStr">
        <is>
          <t>Всем</t>
        </is>
      </c>
      <c r="J89" s="7" t="inlineStr">
        <is>
          <t>110 / Сохранён</t>
        </is>
      </c>
    </row>
    <row r="90" ht="42" customHeight="1">
      <c r="A90" s="5" t="n">
        <v>85</v>
      </c>
      <c r="B90" s="6" t="inlineStr">
        <is>
          <t>OFF_Q114</t>
        </is>
      </c>
      <c r="C90" s="7" t="inlineStr">
        <is>
          <t>Вознаграждение</t>
        </is>
      </c>
      <c r="D90" s="7" t="inlineStr"/>
      <c r="E90" s="8" t="inlineStr">
        <is>
          <t>Я считаю уровень своего вознаграждения соответствующим объёму ответственности и достигнутым результатам.</t>
        </is>
      </c>
      <c r="F90" s="7" t="inlineStr">
        <is>
          <t>Шкала 1–5</t>
        </is>
      </c>
      <c r="G90" s="7" t="inlineStr">
        <is>
          <t>1 — полностью не согласен; 5 — полностью согласен</t>
        </is>
      </c>
      <c r="H90" s="6" t="inlineStr">
        <is>
          <t>Да</t>
        </is>
      </c>
      <c r="I90" s="7" t="inlineStr">
        <is>
          <t>Всем</t>
        </is>
      </c>
      <c r="J90" s="7" t="inlineStr">
        <is>
          <t>114 / Сохранён</t>
        </is>
      </c>
    </row>
    <row r="91" ht="30" customHeight="1">
      <c r="A91" s="5" t="n">
        <v>86</v>
      </c>
      <c r="B91" s="6" t="inlineStr">
        <is>
          <t>OFF_Q115</t>
        </is>
      </c>
      <c r="C91" s="7" t="inlineStr">
        <is>
          <t>Вознаграждение</t>
        </is>
      </c>
      <c r="D91" s="7" t="inlineStr"/>
      <c r="E91" s="8" t="inlineStr">
        <is>
          <t>Я считаю уровень своего вознаграждения конкурентным относительно рынка для специалистов сопоставимого уровня.</t>
        </is>
      </c>
      <c r="F91" s="7" t="inlineStr">
        <is>
          <t>Шкала 1–5</t>
        </is>
      </c>
      <c r="G91" s="7" t="inlineStr">
        <is>
          <t>1 — полностью не согласен; 5 — полностью согласен; Затрудняюсь оценить</t>
        </is>
      </c>
      <c r="H91" s="6" t="inlineStr">
        <is>
          <t>Нет</t>
        </is>
      </c>
      <c r="I91" s="7" t="inlineStr">
        <is>
          <t>Всем</t>
        </is>
      </c>
      <c r="J91" s="7" t="inlineStr">
        <is>
          <t>115 / Сохранён</t>
        </is>
      </c>
    </row>
    <row r="92" ht="30" customHeight="1">
      <c r="A92" s="5" t="n">
        <v>87</v>
      </c>
      <c r="B92" s="6" t="inlineStr">
        <is>
          <t>OFF_Q116</t>
        </is>
      </c>
      <c r="C92" s="7" t="inlineStr">
        <is>
          <t>Вознаграждение</t>
        </is>
      </c>
      <c r="D92" s="7" t="inlineStr"/>
      <c r="E92" s="8" t="inlineStr">
        <is>
          <t>Мне понятны принципы формирования оклада, премии и других выплат.</t>
        </is>
      </c>
      <c r="F92" s="7" t="inlineStr">
        <is>
          <t>Шкала 1–5</t>
        </is>
      </c>
      <c r="G92" s="7" t="inlineStr">
        <is>
          <t>1 — полностью не согласен; 5 — полностью согласен</t>
        </is>
      </c>
      <c r="H92" s="6" t="inlineStr">
        <is>
          <t>Да</t>
        </is>
      </c>
      <c r="I92" s="7" t="inlineStr">
        <is>
          <t>Всем</t>
        </is>
      </c>
      <c r="J92" s="7" t="inlineStr">
        <is>
          <t>116 / Сохранён</t>
        </is>
      </c>
    </row>
    <row r="93" ht="30" customHeight="1">
      <c r="A93" s="5" t="n">
        <v>88</v>
      </c>
      <c r="B93" s="6" t="inlineStr">
        <is>
          <t>OFF_Q117</t>
        </is>
      </c>
      <c r="C93" s="7" t="inlineStr">
        <is>
          <t>Вознаграждение</t>
        </is>
      </c>
      <c r="D93" s="7" t="inlineStr"/>
      <c r="E93" s="8" t="inlineStr">
        <is>
          <t>Я понимаю, каким образом мой результат влияет на переменную часть вознаграждения, если она предусмотрена.</t>
        </is>
      </c>
      <c r="F93" s="7" t="inlineStr">
        <is>
          <t>Шкала 1–5</t>
        </is>
      </c>
      <c r="G93" s="7" t="inlineStr">
        <is>
          <t>1 — полностью не согласен; 5 — полностью согласен; Н/П</t>
        </is>
      </c>
      <c r="H93" s="6" t="inlineStr">
        <is>
          <t>Нет</t>
        </is>
      </c>
      <c r="I93" s="7" t="inlineStr">
        <is>
          <t>Всем</t>
        </is>
      </c>
      <c r="J93" s="7" t="inlineStr">
        <is>
          <t>117 / Сохранён</t>
        </is>
      </c>
    </row>
    <row r="94" ht="30" customHeight="1">
      <c r="A94" s="5" t="n">
        <v>89</v>
      </c>
      <c r="B94" s="6" t="inlineStr">
        <is>
          <t>OFF_Q118</t>
        </is>
      </c>
      <c r="C94" s="7" t="inlineStr">
        <is>
          <t>Вознаграждение</t>
        </is>
      </c>
      <c r="D94" s="7" t="inlineStr"/>
      <c r="E94" s="8" t="inlineStr">
        <is>
          <t>Что для вас важнее всего в системе вознаграждения? Выберите до 3.</t>
        </is>
      </c>
      <c r="F94" s="7" t="inlineStr">
        <is>
          <t>Флажки до 3</t>
        </is>
      </c>
      <c r="G94" s="7" t="inlineStr">
        <is>
          <t>Уровень фиксированного дохода; Размер премии; Понятность KPI; Зависимость премии от результата; Справедливость между сотрудниками сопоставимого уровня; Конкурентность относительно рынка; Регулярность пересмотра дохода; Дополнительные льготы / бенефиты; Другое</t>
        </is>
      </c>
      <c r="H94" s="6" t="inlineStr">
        <is>
          <t>Да</t>
        </is>
      </c>
      <c r="I94" s="7" t="inlineStr">
        <is>
          <t>Всем</t>
        </is>
      </c>
      <c r="J94" s="7" t="inlineStr">
        <is>
          <t>118 / Сохранён</t>
        </is>
      </c>
    </row>
    <row r="95" ht="42" customHeight="1">
      <c r="A95" s="5" t="n">
        <v>90</v>
      </c>
      <c r="B95" s="6" t="inlineStr">
        <is>
          <t>OFF_Q120</t>
        </is>
      </c>
      <c r="C95" s="7" t="inlineStr">
        <is>
          <t>Корпоратив</t>
        </is>
      </c>
      <c r="D95" s="7" t="inlineStr"/>
      <c r="E95" s="8" t="inlineStr">
        <is>
          <t>Участвовали ли вы в корпоративных мероприятиях «Дымов» за последние 2 года?</t>
        </is>
      </c>
      <c r="F95" s="7" t="inlineStr">
        <is>
          <t>Один вариант</t>
        </is>
      </c>
      <c r="G95" s="7" t="inlineStr">
        <is>
          <t>Да, несколько раз; Да, один раз; Нет</t>
        </is>
      </c>
      <c r="H95" s="6" t="inlineStr">
        <is>
          <t>Да</t>
        </is>
      </c>
      <c r="I95" s="7" t="inlineStr">
        <is>
          <t>Всем</t>
        </is>
      </c>
      <c r="J95" s="7" t="inlineStr">
        <is>
          <t>120 / Сохранён</t>
        </is>
      </c>
    </row>
    <row r="96" ht="30" customHeight="1">
      <c r="A96" s="5" t="n">
        <v>91</v>
      </c>
      <c r="B96" s="6" t="inlineStr">
        <is>
          <t>OFF_Q121</t>
        </is>
      </c>
      <c r="C96" s="7" t="inlineStr">
        <is>
          <t>Корпоратив</t>
        </is>
      </c>
      <c r="D96" s="7" t="inlineStr"/>
      <c r="E96" s="8" t="inlineStr">
        <is>
          <t>Что вам больше всего нравилось в предыдущих мероприятиях?</t>
        </is>
      </c>
      <c r="F96" s="7" t="inlineStr">
        <is>
          <t>Несколько вариантов</t>
        </is>
      </c>
      <c r="G96" s="7" t="inlineStr">
        <is>
          <t>Атмосфера; Возможность общаться; Программа; Музыка; Еда; Локация; Активности; Выступления коллег; Подарки; Возможность познакомиться с другими бизнесами; Другое</t>
        </is>
      </c>
      <c r="H96" s="6" t="inlineStr">
        <is>
          <t>Нет</t>
        </is>
      </c>
      <c r="I96" s="7" t="inlineStr">
        <is>
          <t>Всем</t>
        </is>
      </c>
      <c r="J96" s="7" t="inlineStr">
        <is>
          <t>121 / Сохранён</t>
        </is>
      </c>
    </row>
    <row r="97" ht="30" customHeight="1">
      <c r="A97" s="5" t="n">
        <v>92</v>
      </c>
      <c r="B97" s="6" t="inlineStr">
        <is>
          <t>OFF_Q122</t>
        </is>
      </c>
      <c r="C97" s="7" t="inlineStr">
        <is>
          <t>Корпоратив</t>
        </is>
      </c>
      <c r="D97" s="7" t="inlineStr"/>
      <c r="E97" s="8" t="inlineStr">
        <is>
          <t>Что в прежних корпоративных мероприятиях хотелось бы изменить?</t>
        </is>
      </c>
      <c r="F97" s="7" t="inlineStr">
        <is>
          <t>Длинный текст</t>
        </is>
      </c>
      <c r="G97" s="7" t="n"/>
      <c r="H97" s="6" t="inlineStr">
        <is>
          <t>Нет</t>
        </is>
      </c>
      <c r="I97" s="7" t="inlineStr">
        <is>
          <t>Всем</t>
        </is>
      </c>
      <c r="J97" s="7" t="inlineStr">
        <is>
          <t>122 / Сохранён</t>
        </is>
      </c>
    </row>
    <row r="98" ht="30" customHeight="1">
      <c r="A98" s="5" t="n">
        <v>93</v>
      </c>
      <c r="B98" s="6" t="inlineStr">
        <is>
          <t>OFF_Q123</t>
        </is>
      </c>
      <c r="C98" s="7" t="inlineStr">
        <is>
          <t>Корпоратив</t>
        </is>
      </c>
      <c r="D98" s="7" t="inlineStr"/>
      <c r="E98" s="8" t="inlineStr">
        <is>
          <t>Какой формат корпоративного мероприятия вам наиболее интересен?</t>
        </is>
      </c>
      <c r="F98" s="7" t="inlineStr">
        <is>
          <t>Несколько вариантов, до 3</t>
        </is>
      </c>
      <c r="G98" s="7" t="inlineStr">
        <is>
          <t>Большой общий корпоратив всей компании; Мероприятие своей площадки / офиса; Семейный праздник с детьми; Фестиваль; Выезд на природу; Спортивный праздник; Командные соревнования; Интеллектуальные игры / квиз; Концерты и творческая программа сотрудников; Гастрономическое мероприятие; Экскурсии / путешествия; Мастер-классы; Благотворительное мероприятие; Небольшие неформальные встречи командами; Другое</t>
        </is>
      </c>
      <c r="H98" s="6" t="inlineStr">
        <is>
          <t>Да</t>
        </is>
      </c>
      <c r="I98" s="7" t="inlineStr">
        <is>
          <t>Всем</t>
        </is>
      </c>
      <c r="J98" s="7" t="inlineStr">
        <is>
          <t>123 / Сохранён</t>
        </is>
      </c>
    </row>
    <row r="99" ht="54" customHeight="1">
      <c r="A99" s="5" t="n">
        <v>94</v>
      </c>
      <c r="B99" s="6" t="inlineStr">
        <is>
          <t>OFF_Q124</t>
        </is>
      </c>
      <c r="C99" s="7" t="inlineStr">
        <is>
          <t>Корпоратив</t>
        </is>
      </c>
      <c r="D99" s="7" t="inlineStr"/>
      <c r="E99" s="8" t="inlineStr">
        <is>
          <t>Какие впечатления вы хотели бы получить от корпоратива?</t>
        </is>
      </c>
      <c r="F99" s="7" t="inlineStr">
        <is>
          <t>Несколько вариантов, до 3</t>
        </is>
      </c>
      <c r="G99" s="7" t="inlineStr">
        <is>
          <t>Хорошо отдохнуть; Получить яркие эмоции; Почувствовать гордость за компанию; Почувствовать себя частью большой команды; Познакомиться с коллегами из других подразделений; Узнать людей компании с другой стороны; Почувствовать признание своего вклада; Увидеть заботу компании о сотрудниках; Узнать больше об истории и будущем «Дымов»; Провести время с семьёй; Получить новые впечатления; Другое</t>
        </is>
      </c>
      <c r="H99" s="6" t="inlineStr">
        <is>
          <t>Да</t>
        </is>
      </c>
      <c r="I99" s="7" t="inlineStr">
        <is>
          <t>Всем</t>
        </is>
      </c>
      <c r="J99" s="7" t="inlineStr">
        <is>
          <t>124 / Сохранён</t>
        </is>
      </c>
    </row>
    <row r="100" ht="54" customHeight="1">
      <c r="A100" s="5" t="n">
        <v>95</v>
      </c>
      <c r="B100" s="6" t="inlineStr">
        <is>
          <t>OFF_Q125</t>
        </is>
      </c>
      <c r="C100" s="7" t="inlineStr">
        <is>
          <t>Корпоратив</t>
        </is>
      </c>
      <c r="D100" s="7" t="inlineStr"/>
      <c r="E100" s="8" t="inlineStr">
        <is>
          <t>Чего вы точно НЕ хотели бы видеть на корпоративе?</t>
        </is>
      </c>
      <c r="F100" s="7" t="inlineStr">
        <is>
          <t>Длинный текст</t>
        </is>
      </c>
      <c r="G100" s="7" t="n"/>
      <c r="H100" s="6" t="inlineStr">
        <is>
          <t>Нет</t>
        </is>
      </c>
      <c r="I100" s="7" t="inlineStr">
        <is>
          <t>Всем</t>
        </is>
      </c>
      <c r="J100" s="7" t="inlineStr">
        <is>
          <t>125 / Сохранён</t>
        </is>
      </c>
    </row>
    <row r="101" ht="30" customHeight="1">
      <c r="A101" s="5" t="n">
        <v>96</v>
      </c>
      <c r="B101" s="6" t="inlineStr">
        <is>
          <t>OFF_Q126</t>
        </is>
      </c>
      <c r="C101" s="7" t="inlineStr">
        <is>
          <t>Корпоратив</t>
        </is>
      </c>
      <c r="D101" s="7" t="inlineStr"/>
      <c r="E101" s="8" t="inlineStr">
        <is>
          <t>Предложите свой формат или идею корпоративного мероприятия.</t>
        </is>
      </c>
      <c r="F101" s="7" t="inlineStr">
        <is>
          <t>Длинный текст</t>
        </is>
      </c>
      <c r="G101" s="7" t="n"/>
      <c r="H101" s="6" t="inlineStr">
        <is>
          <t>Нет</t>
        </is>
      </c>
      <c r="I101" s="7" t="inlineStr">
        <is>
          <t>Всем</t>
        </is>
      </c>
      <c r="J101" s="7" t="inlineStr">
        <is>
          <t>126 / Сохранён</t>
        </is>
      </c>
    </row>
    <row r="102" ht="30" customHeight="1">
      <c r="A102" s="5" t="n">
        <v>97</v>
      </c>
      <c r="B102" s="6" t="inlineStr">
        <is>
          <t>OFF_Q128</t>
        </is>
      </c>
      <c r="C102" s="7" t="inlineStr">
        <is>
          <t>Финал</t>
        </is>
      </c>
      <c r="D102" s="7" t="inlineStr"/>
      <c r="E102" s="8" t="inlineStr">
        <is>
          <t>Какие 3 изменения со стороны компании сильнее всего повысили бы ваше желание работать здесь, проявлять инициативу, показывать высокий результат и рекомендовать «Дымов» как работодателя?</t>
        </is>
      </c>
      <c r="F102" s="7" t="inlineStr">
        <is>
          <t>Длинный текст</t>
        </is>
      </c>
      <c r="G102" s="7" t="n"/>
      <c r="H102" s="6" t="inlineStr">
        <is>
          <t>Да</t>
        </is>
      </c>
      <c r="I102" s="7" t="inlineStr">
        <is>
          <t>Всем</t>
        </is>
      </c>
      <c r="J102" s="7" t="inlineStr">
        <is>
          <t>128 / Сохранён</t>
        </is>
      </c>
    </row>
    <row r="103" ht="42" customHeight="1">
      <c r="A103" s="13" t="n">
        <v>98</v>
      </c>
      <c r="B103" s="14" t="inlineStr">
        <is>
          <t>OFF_TRUST_01</t>
        </is>
      </c>
      <c r="C103" s="15" t="inlineStr">
        <is>
          <t>Финал</t>
        </is>
      </c>
      <c r="D103" s="15" t="inlineStr">
        <is>
          <t>Доверие к обратной связи</t>
        </is>
      </c>
      <c r="E103" s="16" t="inlineStr">
        <is>
          <t>Я верю, что компания действительно будет работать с результатами этого опроса.</t>
        </is>
      </c>
      <c r="F103" s="15" t="inlineStr">
        <is>
          <t>Шкала 1–5</t>
        </is>
      </c>
      <c r="G103" s="15" t="inlineStr">
        <is>
          <t>1 — полностью не согласен; 5 — полностью согласен</t>
        </is>
      </c>
      <c r="H103" s="14" t="inlineStr">
        <is>
          <t>Да</t>
        </is>
      </c>
      <c r="I103" s="15" t="inlineStr">
        <is>
          <t>После прохождения основных блоков</t>
        </is>
      </c>
      <c r="J103" s="15" t="inlineStr">
        <is>
          <t>NEW / Новый</t>
        </is>
      </c>
    </row>
    <row r="104" ht="30" customHeight="1">
      <c r="A104" s="13" t="n">
        <v>99</v>
      </c>
      <c r="B104" s="14" t="inlineStr">
        <is>
          <t>OFF_TRUST_02</t>
        </is>
      </c>
      <c r="C104" s="15" t="inlineStr">
        <is>
          <t>Финал</t>
        </is>
      </c>
      <c r="D104" s="15" t="inlineStr">
        <is>
          <t>Доверие к обратной связи</t>
        </is>
      </c>
      <c r="E104" s="16" t="inlineStr">
        <is>
          <t>Я верю, что изменения по итогам опроса будут заметны сотрудникам.</t>
        </is>
      </c>
      <c r="F104" s="15" t="inlineStr">
        <is>
          <t>Шкала 1–5</t>
        </is>
      </c>
      <c r="G104" s="15" t="inlineStr">
        <is>
          <t>1 — полностью не согласен; 5 — полностью согласен</t>
        </is>
      </c>
      <c r="H104" s="14" t="inlineStr">
        <is>
          <t>Да</t>
        </is>
      </c>
      <c r="I104" s="15" t="inlineStr">
        <is>
          <t>После прохождения основных блоков</t>
        </is>
      </c>
      <c r="J104" s="15" t="inlineStr">
        <is>
          <t>NEW / Новый</t>
        </is>
      </c>
    </row>
    <row r="105" ht="30" customHeight="1">
      <c r="A105" s="13" t="n">
        <v>100</v>
      </c>
      <c r="B105" s="14" t="inlineStr">
        <is>
          <t>OFF_TRUST_03</t>
        </is>
      </c>
      <c r="C105" s="15" t="inlineStr">
        <is>
          <t>Финал</t>
        </is>
      </c>
      <c r="D105" s="15" t="inlineStr">
        <is>
          <t>Доверие к обратной связи</t>
        </is>
      </c>
      <c r="E105" s="16" t="inlineStr">
        <is>
          <t>Я верю, что мои ответы могут повлиять на реальные улучшения в компании.</t>
        </is>
      </c>
      <c r="F105" s="15" t="inlineStr">
        <is>
          <t>Шкала 1–5</t>
        </is>
      </c>
      <c r="G105" s="15" t="inlineStr">
        <is>
          <t>1 — полностью не согласен; 5 — полностью согласен</t>
        </is>
      </c>
      <c r="H105" s="14" t="inlineStr">
        <is>
          <t>Да</t>
        </is>
      </c>
      <c r="I105" s="15" t="inlineStr">
        <is>
          <t>После прохождения основных блоков</t>
        </is>
      </c>
      <c r="J105" s="15" t="inlineStr">
        <is>
          <t>NEW / Новый</t>
        </is>
      </c>
    </row>
    <row r="106" ht="30" customHeight="1"/>
  </sheetData>
  <autoFilter ref="A5:J106"/>
  <mergeCells count="3">
    <mergeCell ref="A1:J1"/>
    <mergeCell ref="A3:J3"/>
    <mergeCell ref="A2:J2"/>
  </mergeCells>
  <pageMargins left="0.25" right="0.25" top="0.5" bottom="0.5" header="0.5" footer="0.5"/>
  <pageSetup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6" customWidth="1" min="4" max="4"/>
    <col width="76" customWidth="1" min="5" max="5"/>
    <col width="22" customWidth="1" min="6" max="6"/>
  </cols>
  <sheetData>
    <row r="1">
      <c r="A1" s="17" t="inlineStr">
        <is>
          <t>ИТОГ: «100 ШАГОВ НА ПУТИ К УСПЕХУ»</t>
        </is>
      </c>
    </row>
    <row r="2">
      <c r="A2" s="18" t="inlineStr">
        <is>
          <t>В финальной структуре ровно 100 определений вопросов. Из-за ветвления ИИ сотрудник увидит 97–98 экранов. Ориентир прохождения: около 25 минут.</t>
        </is>
      </c>
    </row>
    <row r="4">
      <c r="A4" s="19" t="inlineStr">
        <is>
          <t>Блок</t>
        </is>
      </c>
      <c r="B4" s="19" t="inlineStr">
        <is>
          <t>Вопросов в таблице</t>
        </is>
      </c>
      <c r="C4" s="19" t="inlineStr">
        <is>
          <t>Открытых вопросов</t>
        </is>
      </c>
      <c r="D4" s="19" t="inlineStr">
        <is>
          <t>Обязательных</t>
        </is>
      </c>
      <c r="E4" s="19" t="inlineStr">
        <is>
          <t>Комментарий</t>
        </is>
      </c>
      <c r="F4" s="19" t="inlineStr">
        <is>
          <t>Статус</t>
        </is>
      </c>
    </row>
    <row r="5">
      <c r="A5" s="20" t="inlineStr">
        <is>
          <t>eNPS</t>
        </is>
      </c>
      <c r="B5" s="20">
        <f>COUNTIF('Финальная анкета'!$C:$C,A5)</f>
        <v/>
      </c>
      <c r="C5" s="20">
        <f>COUNTIFS('Финальная анкета'!$C:$C,A5,'Финальная анкета'!$F:$F,"*текст*")</f>
        <v/>
      </c>
      <c r="D5" s="20">
        <f>COUNTIFS('Финальная анкета'!$C:$C,A5,'Финальная анкета'!$H:$H,"Да")</f>
        <v/>
      </c>
      <c r="E5" s="20" t="inlineStr">
        <is>
          <t>Ключевой outcome-показатель.</t>
        </is>
      </c>
      <c r="F5" s="20" t="inlineStr">
        <is>
          <t>Оптимизирован</t>
        </is>
      </c>
    </row>
    <row r="6">
      <c r="A6" s="20" t="inlineStr">
        <is>
          <t>Вовлечённость</t>
        </is>
      </c>
      <c r="B6" s="20">
        <f>COUNTIF('Финальная анкета'!$C:$C,A6)</f>
        <v/>
      </c>
      <c r="C6" s="20">
        <f>COUNTIFS('Финальная анкета'!$C:$C,A6,'Финальная анкета'!$F:$F,"*текст*")</f>
        <v/>
      </c>
      <c r="D6" s="20">
        <f>COUNTIFS('Финальная анкета'!$C:$C,A6,'Финальная анкета'!$H:$H,"Да")</f>
        <v/>
      </c>
      <c r="E6" s="20" t="inlineStr">
        <is>
          <t>Сокращено; оставлены ключевые драйверы и один открытый вопрос.</t>
        </is>
      </c>
      <c r="F6" s="20" t="inlineStr">
        <is>
          <t>Оптимизирован</t>
        </is>
      </c>
    </row>
    <row r="7">
      <c r="A7" s="20" t="inlineStr">
        <is>
          <t>Эффективность</t>
        </is>
      </c>
      <c r="B7" s="20">
        <f>COUNTIF('Финальная анкета'!$C:$C,A7)</f>
        <v/>
      </c>
      <c r="C7" s="20">
        <f>COUNTIFS('Финальная анкета'!$C:$C,A7,'Финальная анкета'!$F:$F,"*текст*")</f>
        <v/>
      </c>
      <c r="D7" s="20">
        <f>COUNTIFS('Финальная анкета'!$C:$C,A7,'Финальная анкета'!$H:$H,"Да")</f>
        <v/>
      </c>
      <c r="E7" s="20" t="inlineStr">
        <is>
          <t>Включает технологии, процессы, work-life balance и условный блок ИИ.</t>
        </is>
      </c>
      <c r="F7" s="20" t="inlineStr">
        <is>
          <t>Оптимизирован</t>
        </is>
      </c>
    </row>
    <row r="8">
      <c r="A8" s="20" t="inlineStr">
        <is>
          <t>Руководитель</t>
        </is>
      </c>
      <c r="B8" s="20">
        <f>COUNTIF('Финальная анкета'!$C:$C,A8)</f>
        <v/>
      </c>
      <c r="C8" s="20">
        <f>COUNTIFS('Финальная анкета'!$C:$C,A8,'Финальная анкета'!$F:$F,"*текст*")</f>
        <v/>
      </c>
      <c r="D8" s="20">
        <f>COUNTIFS('Финальная анкета'!$C:$C,A8,'Финальная анкета'!$H:$H,"Да")</f>
        <v/>
      </c>
      <c r="E8" s="20" t="inlineStr">
        <is>
          <t>Оставлены постановка задач, уважение, обратная связь и справедливость.</t>
        </is>
      </c>
      <c r="F8" s="20" t="inlineStr">
        <is>
          <t>Оптимизирован</t>
        </is>
      </c>
    </row>
    <row r="9">
      <c r="A9" s="20" t="inlineStr">
        <is>
          <t>Самостоятельность</t>
        </is>
      </c>
      <c r="B9" s="20">
        <f>COUNTIF('Финальная анкета'!$C:$C,A9)</f>
        <v/>
      </c>
      <c r="C9" s="20">
        <f>COUNTIFS('Финальная анкета'!$C:$C,A9,'Финальная анкета'!$F:$F,"*текст*")</f>
        <v/>
      </c>
      <c r="D9" s="20">
        <f>COUNTIFS('Финальная анкета'!$C:$C,A9,'Финальная анкета'!$H:$H,"Да")</f>
        <v/>
      </c>
      <c r="E9" s="20" t="inlineStr">
        <is>
          <t>Сохранён полностью.</t>
        </is>
      </c>
      <c r="F9" s="20" t="inlineStr">
        <is>
          <t>Сохранён полностью</t>
        </is>
      </c>
    </row>
    <row r="10">
      <c r="A10" s="20" t="inlineStr">
        <is>
          <t>Топ-менеджмент</t>
        </is>
      </c>
      <c r="B10" s="20">
        <f>COUNTIF('Финальная анкета'!$C:$C,A10)</f>
        <v/>
      </c>
      <c r="C10" s="20">
        <f>COUNTIFS('Финальная анкета'!$C:$C,A10,'Финальная анкета'!$F:$F,"*текст*")</f>
        <v/>
      </c>
      <c r="D10" s="20">
        <f>COUNTIFS('Финальная анкета'!$C:$C,A10,'Финальная анкета'!$H:$H,"Да")</f>
        <v/>
      </c>
      <c r="E10" s="20" t="inlineStr">
        <is>
          <t>Сокращено до конкретных вопросов + одного открытого.</t>
        </is>
      </c>
      <c r="F10" s="20" t="inlineStr">
        <is>
          <t>Оптимизирован</t>
        </is>
      </c>
    </row>
    <row r="11">
      <c r="A11" s="20" t="inlineStr">
        <is>
          <t>Признание</t>
        </is>
      </c>
      <c r="B11" s="20">
        <f>COUNTIF('Финальная анкета'!$C:$C,A11)</f>
        <v/>
      </c>
      <c r="C11" s="20">
        <f>COUNTIFS('Финальная анкета'!$C:$C,A11,'Финальная анкета'!$F:$F,"*текст*")</f>
        <v/>
      </c>
      <c r="D11" s="20">
        <f>COUNTIFS('Финальная анкета'!$C:$C,A11,'Финальная анкета'!$H:$H,"Да")</f>
        <v/>
      </c>
      <c r="E11" s="20" t="inlineStr">
        <is>
          <t>Оставлен личный опыт признания и предпочитаемые формы.</t>
        </is>
      </c>
      <c r="F11" s="20" t="inlineStr">
        <is>
          <t>Оптимизирован</t>
        </is>
      </c>
    </row>
    <row r="12">
      <c r="A12" s="20" t="inlineStr">
        <is>
          <t>Намерение продолжать работу в компании</t>
        </is>
      </c>
      <c r="B12" s="20">
        <f>COUNTIF('Финальная анкета'!$C:$C,A12)</f>
        <v/>
      </c>
      <c r="C12" s="20">
        <f>COUNTIFS('Финальная анкета'!$C:$C,A12,'Финальная анкета'!$F:$F,"*текст*")</f>
        <v/>
      </c>
      <c r="D12" s="20">
        <f>COUNTIFS('Финальная анкета'!$C:$C,A12,'Финальная анкета'!$H:$H,"Да")</f>
        <v/>
      </c>
      <c r="E12" s="20" t="inlineStr">
        <is>
          <t>Оставлены 12 месяцев и реальный риск ухода.</t>
        </is>
      </c>
      <c r="F12" s="20" t="inlineStr">
        <is>
          <t>Оптимизирован</t>
        </is>
      </c>
    </row>
    <row r="13">
      <c r="A13" s="20" t="inlineStr">
        <is>
          <t>Развитие и карьера</t>
        </is>
      </c>
      <c r="B13" s="20">
        <f>COUNTIF('Финальная анкета'!$C:$C,A13)</f>
        <v/>
      </c>
      <c r="C13" s="20">
        <f>COUNTIFS('Финальная анкета'!$C:$C,A13,'Финальная анкета'!$F:$F,"*текст*")</f>
        <v/>
      </c>
      <c r="D13" s="20">
        <f>COUNTIFS('Финальная анкета'!$C:$C,A13,'Финальная анкета'!$H:$H,"Да")</f>
        <v/>
      </c>
      <c r="E13" s="20" t="inlineStr">
        <is>
          <t>Оставлены развитие экспертизы и карьерные перспективы.</t>
        </is>
      </c>
      <c r="F13" s="20" t="inlineStr">
        <is>
          <t>Оптимизирован</t>
        </is>
      </c>
    </row>
    <row r="14">
      <c r="A14" s="20" t="inlineStr">
        <is>
          <t>Приоритеты</t>
        </is>
      </c>
      <c r="B14" s="20">
        <f>COUNTIF('Финальная анкета'!$C:$C,A14)</f>
        <v/>
      </c>
      <c r="C14" s="20">
        <f>COUNTIFS('Финальная анкета'!$C:$C,A14,'Финальная анкета'!$F:$F,"*текст*")</f>
        <v/>
      </c>
      <c r="D14" s="20">
        <f>COUNTIFS('Финальная анкета'!$C:$C,A14,'Финальная анкета'!$H:$H,"Да")</f>
        <v/>
      </c>
      <c r="E14" s="20" t="inlineStr">
        <is>
          <t>Сохранён TOP-факторов результативности.</t>
        </is>
      </c>
      <c r="F14" s="20" t="inlineStr">
        <is>
          <t>Оптимизирован</t>
        </is>
      </c>
    </row>
    <row r="15">
      <c r="A15" s="20" t="inlineStr">
        <is>
          <t>Климат</t>
        </is>
      </c>
      <c r="B15" s="20">
        <f>COUNTIF('Финальная анкета'!$C:$C,A15)</f>
        <v/>
      </c>
      <c r="C15" s="20">
        <f>COUNTIFS('Финальная анкета'!$C:$C,A15,'Финальная анкета'!$F:$F,"*текст*")</f>
        <v/>
      </c>
      <c r="D15" s="20">
        <f>COUNTIFS('Финальная анкета'!$C:$C,A15,'Финальная анкета'!$H:$H,"Да")</f>
        <v/>
      </c>
      <c r="E15" s="20" t="inlineStr">
        <is>
          <t>Сохранено ядро командной и психологической безопасности.</t>
        </is>
      </c>
      <c r="F15" s="20" t="inlineStr">
        <is>
          <t>Оптимизирован</t>
        </is>
      </c>
    </row>
    <row r="16">
      <c r="A16" s="20" t="inlineStr">
        <is>
          <t>Условия</t>
        </is>
      </c>
      <c r="B16" s="20">
        <f>COUNTIF('Финальная анкета'!$C:$C,A16)</f>
        <v/>
      </c>
      <c r="C16" s="20">
        <f>COUNTIFS('Финальная анкета'!$C:$C,A16,'Финальная анкета'!$F:$F,"*текст*")</f>
        <v/>
      </c>
      <c r="D16" s="20">
        <f>COUNTIFS('Финальная анкета'!$C:$C,A16,'Финальная анкета'!$H:$H,"Да")</f>
        <v/>
      </c>
      <c r="E16" s="20" t="inlineStr">
        <is>
          <t>Добавлена площадка; отдельный шум/кофе/еда/зона отдыха сведены в приоритеты.</t>
        </is>
      </c>
      <c r="F16" s="20" t="inlineStr">
        <is>
          <t>Оптимизирован</t>
        </is>
      </c>
    </row>
    <row r="17">
      <c r="A17" s="20" t="inlineStr">
        <is>
          <t>Условия / обучение</t>
        </is>
      </c>
      <c r="B17" s="20">
        <f>COUNTIF('Финальная анкета'!$C:$C,A17)</f>
        <v/>
      </c>
      <c r="C17" s="20">
        <f>COUNTIFS('Финальная анкета'!$C:$C,A17,'Финальная анкета'!$F:$F,"*текст*")</f>
        <v/>
      </c>
      <c r="D17" s="20">
        <f>COUNTIFS('Финальная анкета'!$C:$C,A17,'Финальная анкета'!$H:$H,"Да")</f>
        <v/>
      </c>
      <c r="E17" s="20" t="inlineStr">
        <is>
          <t>Сохранена потребность в обучении.</t>
        </is>
      </c>
      <c r="F17" s="20" t="inlineStr">
        <is>
          <t>Оптимизирован</t>
        </is>
      </c>
    </row>
    <row r="18">
      <c r="A18" s="20" t="inlineStr">
        <is>
          <t>Самочувствие и благополучие</t>
        </is>
      </c>
      <c r="B18" s="20">
        <f>COUNTIF('Финальная анкета'!$C:$C,A18)</f>
        <v/>
      </c>
      <c r="C18" s="20">
        <f>COUNTIFS('Финальная анкета'!$C:$C,A18,'Финальная анкета'!$F:$F,"*текст*")</f>
        <v/>
      </c>
      <c r="D18" s="20">
        <f>COUNTIFS('Финальная анкета'!$C:$C,A18,'Финальная анкета'!$H:$H,"Да")</f>
        <v/>
      </c>
      <c r="E18" s="20" t="inlineStr">
        <is>
          <t>Убраны тревога, энергия и психологическое напряжение; оставлено компактное ядро.</t>
        </is>
      </c>
      <c r="F18" s="20" t="inlineStr">
        <is>
          <t>Оптимизирован</t>
        </is>
      </c>
    </row>
    <row r="19">
      <c r="A19" s="20" t="inlineStr">
        <is>
          <t>Гордость за компанию</t>
        </is>
      </c>
      <c r="B19" s="20">
        <f>COUNTIF('Финальная анкета'!$C:$C,A19)</f>
        <v/>
      </c>
      <c r="C19" s="20">
        <f>COUNTIFS('Финальная анкета'!$C:$C,A19,'Финальная анкета'!$F:$F,"*текст*")</f>
        <v/>
      </c>
      <c r="D19" s="20">
        <f>COUNTIFS('Финальная анкета'!$C:$C,A19,'Финальная анкета'!$H:$H,"Да")</f>
        <v/>
      </c>
      <c r="E19" s="20" t="inlineStr">
        <is>
          <t>Сокращено до личной гордости и сильных сторон.</t>
        </is>
      </c>
      <c r="F19" s="20" t="inlineStr">
        <is>
          <t>Оптимизирован</t>
        </is>
      </c>
    </row>
    <row r="20">
      <c r="A20" s="20" t="inlineStr">
        <is>
          <t>Насколько человеку подходит компания</t>
        </is>
      </c>
      <c r="B20" s="20">
        <f>COUNTIF('Финальная анкета'!$C:$C,A20)</f>
        <v/>
      </c>
      <c r="C20" s="20">
        <f>COUNTIFS('Финальная анкета'!$C:$C,A20,'Финальная анкета'!$F:$F,"*текст*")</f>
        <v/>
      </c>
      <c r="D20" s="20">
        <f>COUNTIFS('Финальная анкета'!$C:$C,A20,'Финальная анкета'!$H:$H,"Да")</f>
        <v/>
      </c>
      <c r="E20" s="20" t="inlineStr">
        <is>
          <t>Оставлены три шкалы + структурированные слабые стороны.</t>
        </is>
      </c>
      <c r="F20" s="20" t="inlineStr">
        <is>
          <t>Оптимизирован</t>
        </is>
      </c>
    </row>
    <row r="21">
      <c r="A21" s="20" t="inlineStr">
        <is>
          <t>Вознаграждение</t>
        </is>
      </c>
      <c r="B21" s="20">
        <f>COUNTIF('Финальная анкета'!$C:$C,A21)</f>
        <v/>
      </c>
      <c r="C21" s="20">
        <f>COUNTIFS('Финальная анкета'!$C:$C,A21,'Финальная анкета'!$F:$F,"*текст*")</f>
        <v/>
      </c>
      <c r="D21" s="20">
        <f>COUNTIFS('Финальная анкета'!$C:$C,A21,'Финальная анкета'!$H:$H,"Да")</f>
        <v/>
      </c>
      <c r="E21" s="20" t="inlineStr">
        <is>
          <t>Сохранены ключевые шкалы и приоритеты; открытый дубль удалён.</t>
        </is>
      </c>
      <c r="F21" s="20" t="inlineStr">
        <is>
          <t>Оптимизирован</t>
        </is>
      </c>
    </row>
    <row r="22">
      <c r="A22" s="21" t="inlineStr">
        <is>
          <t>Корпоратив</t>
        </is>
      </c>
      <c r="B22" s="21">
        <f>COUNTIF('Финальная анкета'!$C:$C,A22)</f>
        <v/>
      </c>
      <c r="C22" s="21">
        <f>COUNTIFS('Финальная анкета'!$C:$C,A22,'Финальная анкета'!$F:$F,"*текст*")</f>
        <v/>
      </c>
      <c r="D22" s="21">
        <f>COUNTIFS('Финальная анкета'!$C:$C,A22,'Финальная анкета'!$H:$H,"Да")</f>
        <v/>
      </c>
      <c r="E22" s="21" t="inlineStr">
        <is>
          <t>НЕ СОКРАЩАЛСЯ — сохранены все 7 вопросов.</t>
        </is>
      </c>
      <c r="F22" s="21" t="inlineStr">
        <is>
          <t>Сохранён полностью</t>
        </is>
      </c>
    </row>
    <row r="23">
      <c r="A23" s="20" t="inlineStr">
        <is>
          <t>Финал</t>
        </is>
      </c>
      <c r="B23" s="20">
        <f>COUNTIF('Финальная анкета'!$C:$C,A23)</f>
        <v/>
      </c>
      <c r="C23" s="20">
        <f>COUNTIFS('Финальная анкета'!$C:$C,A23,'Финальная анкета'!$F:$F,"*текст*")</f>
        <v/>
      </c>
      <c r="D23" s="20">
        <f>COUNTIFS('Финальная анкета'!$C:$C,A23,'Финальная анкета'!$H:$H,"Да")</f>
        <v/>
      </c>
      <c r="E23" s="20" t="inlineStr">
        <is>
          <t>Финальный открытый вопрос + 3 вопроса доверия.</t>
        </is>
      </c>
      <c r="F23" s="20" t="inlineStr">
        <is>
          <t>Дополнен</t>
        </is>
      </c>
    </row>
    <row r="24">
      <c r="A24" s="22" t="inlineStr">
        <is>
          <t>ИТОГО определений вопросов</t>
        </is>
      </c>
      <c r="B24" s="22">
        <f>SUM(B5:B23)</f>
        <v/>
      </c>
      <c r="C24" s="22">
        <f>SUM(C5:C23)</f>
        <v/>
      </c>
      <c r="D24" s="22">
        <f>SUM(D5:D23)</f>
        <v/>
      </c>
      <c r="E24" s="22" t="n"/>
      <c r="F24" s="22" t="n"/>
    </row>
    <row r="26">
      <c r="A26" s="23" t="inlineStr">
        <is>
          <t>Маршрут сотрудника: 88 сохранённых вопросов из исходной анкеты + 1 площадка + 3 доверия + 4–6 вопросов ИИ по ветке = 97–98 экранов. В таблице ИИ описан 8 строками, потому что две ветки взаимоисключающие.</t>
        </is>
      </c>
    </row>
    <row r="27">
      <c r="A27" s="24" t="inlineStr">
        <is>
          <t>Время: быстро ≈15–18 мин; нормальное вдумчивое прохождение ≈20–25 мин; с подробными открытыми комментариями ≈25–30 мин. Для сайта рекомендуется писать «около 25 минут».</t>
        </is>
      </c>
    </row>
  </sheetData>
  <mergeCells count="4">
    <mergeCell ref="A26:F26"/>
    <mergeCell ref="A2:F2"/>
    <mergeCell ref="A1:F1"/>
    <mergeCell ref="A27:F27"/>
  </mergeCells>
  <pageMargins left="0.25" right="0.25" top="0.5" bottom="0.5" header="0.5" footer="0.5"/>
  <pageSetup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4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76" customWidth="1" min="3" max="3"/>
    <col width="80" customWidth="1" min="4" max="4"/>
    <col width="34" customWidth="1" min="5" max="5"/>
  </cols>
  <sheetData>
    <row r="1">
      <c r="A1" s="17" t="inlineStr">
        <is>
          <t>ВОПРОСЫ, ИСКЛЮЧЁННЫЕ ИЗ ФИНАЛЬНОЙ ВЕРСИИ</t>
        </is>
      </c>
    </row>
    <row r="3">
      <c r="A3" s="19" t="inlineStr">
        <is>
          <t>Исходный Q</t>
        </is>
      </c>
      <c r="B3" s="19" t="inlineStr">
        <is>
          <t>Блок</t>
        </is>
      </c>
      <c r="C3" s="19" t="inlineStr">
        <is>
          <t>Вопрос</t>
        </is>
      </c>
      <c r="D3" s="19" t="inlineStr">
        <is>
          <t>Причина удаления</t>
        </is>
      </c>
      <c r="E3" s="19" t="inlineStr">
        <is>
          <t>Решение</t>
        </is>
      </c>
    </row>
    <row r="4" ht="45" customHeight="1">
      <c r="A4" s="25" t="n">
        <v>4</v>
      </c>
      <c r="B4" s="25" t="inlineStr">
        <is>
          <t>Вовлечённость</t>
        </is>
      </c>
      <c r="C4" s="25" t="inlineStr">
        <is>
          <t>У меня есть необходимые ресурсы и условия, чтобы хорошо выполнять свою работу.</t>
        </is>
      </c>
      <c r="D4" s="25" t="inlineStr">
        <is>
          <t>Общий вопрос; ресурсы и условия измеряются подробнее в блоках «Эффективность» и «Условия».</t>
        </is>
      </c>
      <c r="E4" s="25" t="inlineStr">
        <is>
          <t>Удалить из основной офисной анкеты</t>
        </is>
      </c>
    </row>
    <row r="5" ht="45" customHeight="1">
      <c r="A5" s="25" t="n">
        <v>5</v>
      </c>
      <c r="B5" s="25" t="inlineStr">
        <is>
          <t>Вовлечённость</t>
        </is>
      </c>
      <c r="C5" s="25" t="inlineStr">
        <is>
          <t>Я чувствую, что мой вклад в компании имеет значение.</t>
        </is>
      </c>
      <c r="D5" s="25" t="inlineStr">
        <is>
          <t>Смысловой дубль влияния на общий результат и признания вклада.</t>
        </is>
      </c>
      <c r="E5" s="25" t="inlineStr">
        <is>
          <t>Удалить из основной офисной анкеты</t>
        </is>
      </c>
    </row>
    <row r="6" ht="45" customHeight="1">
      <c r="A6" s="25" t="n">
        <v>10</v>
      </c>
      <c r="B6" s="25" t="inlineStr">
        <is>
          <t>Вовлечённость</t>
        </is>
      </c>
      <c r="C6" s="25" t="inlineStr">
        <is>
          <t>В конце рабочего дня / недели у меня обычно есть ощущение, что важные задачи действительно продвинулись или завершены.</t>
        </is>
      </c>
      <c r="D6" s="25" t="inlineStr">
        <is>
          <t>Смысловой дубль ощущения конкретного результата; оставлены Q9 и Q11.</t>
        </is>
      </c>
      <c r="E6" s="25" t="inlineStr">
        <is>
          <t>Удалить из основной офисной анкеты</t>
        </is>
      </c>
    </row>
    <row r="7" ht="45" customHeight="1">
      <c r="A7" s="25" t="n">
        <v>13</v>
      </c>
      <c r="B7" s="25" t="inlineStr">
        <is>
          <t>Вовлечённость</t>
        </is>
      </c>
      <c r="C7" s="25" t="inlineStr">
        <is>
          <t>Что, на ваш взгляд, помогло бы изменить эту ситуацию?</t>
        </is>
      </c>
      <c r="D7" s="25" t="inlineStr">
        <is>
          <t>Объединён с Q12 в один открытый вопрос.</t>
        </is>
      </c>
      <c r="E7" s="25" t="inlineStr">
        <is>
          <t>Удалить из основной офисной анкеты</t>
        </is>
      </c>
    </row>
    <row r="8" ht="45" customHeight="1">
      <c r="A8" s="25" t="n">
        <v>14</v>
      </c>
      <c r="B8" s="25" t="inlineStr">
        <is>
          <t>Эффективность</t>
        </is>
      </c>
      <c r="C8" s="25" t="inlineStr">
        <is>
          <t>Мне хватает рабочего времени для выполнения основного объёма задач.</t>
        </is>
      </c>
      <c r="D8" s="25" t="inlineStr">
        <is>
          <t>Заменён более фактическими вопросами о работе вне рабочего времени и балансе.</t>
        </is>
      </c>
      <c r="E8" s="25" t="inlineStr">
        <is>
          <t>Удалить из основной офисной анкеты</t>
        </is>
      </c>
    </row>
    <row r="9" ht="45" customHeight="1">
      <c r="A9" s="25" t="n">
        <v>15</v>
      </c>
      <c r="B9" s="25" t="inlineStr">
        <is>
          <t>Эффективность</t>
        </is>
      </c>
      <c r="C9" s="25" t="inlineStr">
        <is>
          <t>Существующие процессы помогают выполнять работу, а не создают лишние препятствия.</t>
        </is>
      </c>
      <c r="D9" s="25" t="inlineStr">
        <is>
          <t>Слишком общий; процессы измеряются конкретными вопросами Q16–Q24.</t>
        </is>
      </c>
      <c r="E9" s="25" t="inlineStr">
        <is>
          <t>Удалить из основной офисной анкеты</t>
        </is>
      </c>
    </row>
    <row r="10" ht="45" customHeight="1">
      <c r="A10" s="25" t="n">
        <v>22</v>
      </c>
      <c r="B10" s="25" t="inlineStr">
        <is>
          <t>Эффективность</t>
        </is>
      </c>
      <c r="C10" s="25" t="inlineStr">
        <is>
          <t>Что конкретно необходимо изменить или автоматизировать?</t>
        </is>
      </c>
      <c r="D10" s="25" t="inlineStr">
        <is>
          <t>Объединён с Q21 в один открытый вопрос про систему/процесс и нужное изменение.</t>
        </is>
      </c>
      <c r="E10" s="25" t="inlineStr">
        <is>
          <t>Удалить из основной офисной анкеты</t>
        </is>
      </c>
    </row>
    <row r="11" ht="45" customHeight="1">
      <c r="A11" s="25" t="n">
        <v>28</v>
      </c>
      <c r="B11" s="25" t="inlineStr">
        <is>
          <t>Эффективность</t>
        </is>
      </c>
      <c r="C11" s="25" t="inlineStr">
        <is>
          <t>Срочные рабочие вопросы редко требуют от меня менять личные планы или заниматься работой в свободное время.</t>
        </is>
      </c>
      <c r="D11" s="25" t="inlineStr">
        <is>
          <t>Дублирует частоту работы вне рабочего времени и возможность отключаться после работы.</t>
        </is>
      </c>
      <c r="E11" s="25" t="inlineStr">
        <is>
          <t>Удалить из основной офисной анкеты</t>
        </is>
      </c>
    </row>
    <row r="12" ht="45" customHeight="1">
      <c r="A12" s="25" t="n">
        <v>30</v>
      </c>
      <c r="B12" s="25" t="inlineStr">
        <is>
          <t>Эффективность</t>
        </is>
      </c>
      <c r="C12" s="25" t="inlineStr">
        <is>
          <t>Что в организации работы сильнее всего мешает вам сохранять нормальный баланс между работой и личным временем?</t>
        </is>
      </c>
      <c r="D12" s="25" t="inlineStr">
        <is>
          <t>Открытый дубль блока work-life balance; причины видны через другие вопросы.</t>
        </is>
      </c>
      <c r="E12" s="25" t="inlineStr">
        <is>
          <t>Удалить из основной офисной анкеты</t>
        </is>
      </c>
    </row>
    <row r="13" ht="45" customHeight="1">
      <c r="A13" s="25" t="n">
        <v>36</v>
      </c>
      <c r="B13" s="25" t="inlineStr">
        <is>
          <t>Руководитель</t>
        </is>
      </c>
      <c r="C13" s="25" t="inlineStr">
        <is>
          <t>Что руководителям компании стоит изменить, чтобы сотрудникам было проще достигать максимального результата?</t>
        </is>
      </c>
      <c r="D13" s="25" t="inlineStr">
        <is>
          <t>Слишком общий открытый вопрос; остаются конкретные оценки руководителя и справедливости.</t>
        </is>
      </c>
      <c r="E13" s="25" t="inlineStr">
        <is>
          <t>Удалить из основной офисной анкеты</t>
        </is>
      </c>
    </row>
    <row r="14" ht="45" customHeight="1">
      <c r="A14" s="25" t="n">
        <v>42</v>
      </c>
      <c r="B14" s="25" t="inlineStr">
        <is>
          <t>Топ-менеджмент</t>
        </is>
      </c>
      <c r="C14" s="25" t="inlineStr">
        <is>
          <t>Стратегические решения высшего руководства дают понятный ориентир для моей функции.</t>
        </is>
      </c>
      <c r="D14" s="25" t="inlineStr">
        <is>
          <t>Более общий стратегический вопрос; оставлен конкретный Q44 о связи целей.</t>
        </is>
      </c>
      <c r="E14" s="25" t="inlineStr">
        <is>
          <t>Удалить из основной офисной анкеты</t>
        </is>
      </c>
    </row>
    <row r="15" ht="45" customHeight="1">
      <c r="A15" s="25" t="n">
        <v>48</v>
      </c>
      <c r="B15" s="25" t="inlineStr">
        <is>
          <t>Топ-менеджмент</t>
        </is>
      </c>
      <c r="C15" s="25" t="inlineStr">
        <is>
          <t>Что высшему руководству стоило бы изменить в коммуникации с сотрудниками?</t>
        </is>
      </c>
      <c r="D15" s="25" t="inlineStr">
        <is>
          <t>Объединён с Q47 в один открытый вопрос о нехватке информации и коммуникации.</t>
        </is>
      </c>
      <c r="E15" s="25" t="inlineStr">
        <is>
          <t>Удалить из основной офисной анкеты</t>
        </is>
      </c>
    </row>
    <row r="16" ht="45" customHeight="1">
      <c r="A16" s="25" t="n">
        <v>49</v>
      </c>
      <c r="B16" s="25" t="inlineStr">
        <is>
          <t>Признание</t>
        </is>
      </c>
      <c r="C16" s="25" t="inlineStr">
        <is>
          <t>Сильный результат и вклад в развитие компании получают заметное признание.</t>
        </is>
      </c>
      <c r="D16" s="25" t="inlineStr">
        <is>
          <t>Смысловой дубль Q50; оставлен вопрос про личный опыт признания.</t>
        </is>
      </c>
      <c r="E16" s="25" t="inlineStr">
        <is>
          <t>Удалить из основной офисной анкеты</t>
        </is>
      </c>
    </row>
    <row r="17" ht="45" customHeight="1">
      <c r="A17" s="25" t="n">
        <v>52</v>
      </c>
      <c r="B17" s="25" t="inlineStr">
        <is>
          <t>Намерение продолжать работу в компании</t>
        </is>
      </c>
      <c r="C17" s="25" t="inlineStr">
        <is>
          <t>Я вижу себя в компании «Дымов» через два года.</t>
        </is>
      </c>
      <c r="D17" s="25" t="inlineStr">
        <is>
          <t>Дублирует намерение остаться; оставлен более конкретный горизонт 12 месяцев.</t>
        </is>
      </c>
      <c r="E17" s="25" t="inlineStr">
        <is>
          <t>Удалить из основной офисной анкеты</t>
        </is>
      </c>
    </row>
    <row r="18" ht="45" customHeight="1">
      <c r="A18" s="25" t="n">
        <v>55</v>
      </c>
      <c r="B18" s="25" t="inlineStr">
        <is>
          <t>Намерение продолжать работу в компании</t>
        </is>
      </c>
      <c r="C18" s="25" t="inlineStr">
        <is>
          <t>Что сильнее всего влияет на ваше желание продолжать работу в компании?</t>
        </is>
      </c>
      <c r="D18" s="25" t="inlineStr">
        <is>
          <t>Открытый дубль удержания; причины будут видны через ключевые блоки и финальный вопрос.</t>
        </is>
      </c>
      <c r="E18" s="25" t="inlineStr">
        <is>
          <t>Удалить из основной офисной анкеты</t>
        </is>
      </c>
    </row>
    <row r="19" ht="45" customHeight="1">
      <c r="A19" s="25" t="n">
        <v>56</v>
      </c>
      <c r="B19" s="25" t="inlineStr">
        <is>
          <t>Намерение продолжать работу в компании</t>
        </is>
      </c>
      <c r="C19" s="25" t="inlineStr">
        <is>
          <t>Какое одно изменение сильнее всего повысило бы вероятность того, что вы захотите продолжать работать в компании?</t>
        </is>
      </c>
      <c r="D19" s="25" t="inlineStr">
        <is>
          <t>Открытый дубль финального вопроса о необходимых изменениях.</t>
        </is>
      </c>
      <c r="E19" s="25" t="inlineStr">
        <is>
          <t>Удалить из основной офисной анкеты</t>
        </is>
      </c>
    </row>
    <row r="20" ht="45" customHeight="1">
      <c r="A20" s="25" t="n">
        <v>58</v>
      </c>
      <c r="B20" s="25" t="inlineStr">
        <is>
          <t>Развитие и карьера</t>
        </is>
      </c>
      <c r="C20" s="25" t="inlineStr">
        <is>
          <t>В компании есть сильное профессиональное окружение, у которого можно учиться.</t>
        </is>
      </c>
      <c r="D20" s="25" t="inlineStr">
        <is>
          <t>При сокращении блока оставлены развитие экспертизы и карьерные возможности.</t>
        </is>
      </c>
      <c r="E20" s="25" t="inlineStr">
        <is>
          <t>Удалить из основной офисной анкеты</t>
        </is>
      </c>
    </row>
    <row r="21" ht="45" customHeight="1">
      <c r="A21" s="25" t="n">
        <v>61</v>
      </c>
      <c r="B21" s="25" t="inlineStr">
        <is>
          <t>Климат</t>
        </is>
      </c>
      <c r="C21" s="25" t="inlineStr">
        <is>
          <t>В моей команде хорошая рабочая атмосфера.</t>
        </is>
      </c>
      <c r="D21" s="25" t="inlineStr">
        <is>
          <t>Слишком общий вопрос о климате; остаются конкретные поведенческие индикаторы.</t>
        </is>
      </c>
      <c r="E21" s="25" t="inlineStr">
        <is>
          <t>Удалить из основной офисной анкеты</t>
        </is>
      </c>
    </row>
    <row r="22" ht="45" customHeight="1">
      <c r="A22" s="25" t="n">
        <v>63</v>
      </c>
      <c r="B22" s="25" t="inlineStr">
        <is>
          <t>Климат</t>
        </is>
      </c>
      <c r="C22" s="25" t="inlineStr">
        <is>
          <t>В компании можно открыто высказывать мнение, даже если оно отличается от мнения других.</t>
        </is>
      </c>
      <c r="D22" s="25" t="inlineStr">
        <is>
          <t>Общий дубль психологической безопасности и самостоятельности.</t>
        </is>
      </c>
      <c r="E22" s="25" t="inlineStr">
        <is>
          <t>Удалить из основной офисной анкеты</t>
        </is>
      </c>
    </row>
    <row r="23" ht="45" customHeight="1">
      <c r="A23" s="25" t="n">
        <v>68</v>
      </c>
      <c r="B23" s="25" t="inlineStr">
        <is>
          <t>Климат</t>
        </is>
      </c>
      <c r="C23" s="25" t="inlineStr">
        <is>
          <t>Мне комфортно сказать, что я чего-то не знаю или не понимаю, если мне действительно нужна дополнительная информация.</t>
        </is>
      </c>
      <c r="D23" s="25" t="inlineStr">
        <is>
          <t>Дублирует возможность обратиться за помощью Q69.</t>
        </is>
      </c>
      <c r="E23" s="25" t="inlineStr">
        <is>
          <t>Удалить из основной офисной анкеты</t>
        </is>
      </c>
    </row>
    <row r="24" ht="45" customHeight="1">
      <c r="A24" s="25" t="n">
        <v>70</v>
      </c>
      <c r="B24" s="25" t="inlineStr">
        <is>
          <t>Климат</t>
        </is>
      </c>
      <c r="C24" s="25" t="inlineStr">
        <is>
          <t>При возникновении ошибки или проблемы основное внимание уделяется поиску решения и причин, а не поиску виновного.</t>
        </is>
      </c>
      <c r="D24" s="25" t="inlineStr">
        <is>
          <t>Пересекается с Q67 про открытое сообщение об ошибке и её исправление.</t>
        </is>
      </c>
      <c r="E24" s="25" t="inlineStr">
        <is>
          <t>Удалить из основной офисной анкеты</t>
        </is>
      </c>
    </row>
    <row r="25" ht="45" customHeight="1">
      <c r="A25" s="25" t="n">
        <v>72</v>
      </c>
      <c r="B25" s="25" t="inlineStr">
        <is>
          <t>Климат</t>
        </is>
      </c>
      <c r="C25" s="25" t="inlineStr">
        <is>
          <t>Что, на ваш взгляд, помогло бы сделать рабочую среду более открытой и безопасной для обсуждения проблем?</t>
        </is>
      </c>
      <c r="D25" s="25" t="inlineStr">
        <is>
          <t>Второй открытый вопрос по психологической безопасности; оставлен Q71.</t>
        </is>
      </c>
      <c r="E25" s="25" t="inlineStr">
        <is>
          <t>Удалить из основной офисной анкеты</t>
        </is>
      </c>
    </row>
    <row r="26" ht="45" customHeight="1">
      <c r="A26" s="25" t="n">
        <v>73</v>
      </c>
      <c r="B26" s="25" t="inlineStr">
        <is>
          <t>Условия</t>
        </is>
      </c>
      <c r="C26" s="25" t="inlineStr">
        <is>
          <t>Насколько вам удобно работать в существующем формате open space?</t>
        </is>
      </c>
      <c r="D26" s="25" t="inlineStr">
        <is>
          <t>Отдельный вопрос про open space заменён более прикладным Q74 и приоритетами условий.</t>
        </is>
      </c>
      <c r="E26" s="25" t="inlineStr">
        <is>
          <t>Удалить из основной офисной анкеты</t>
        </is>
      </c>
    </row>
    <row r="27" ht="45" customHeight="1">
      <c r="A27" s="25" t="n">
        <v>75</v>
      </c>
      <c r="B27" s="25" t="inlineStr">
        <is>
          <t>Условия</t>
        </is>
      </c>
      <c r="C27" s="25" t="inlineStr">
        <is>
          <t>Устраивает ли вас уровень шума в офисе?</t>
        </is>
      </c>
      <c r="D27" s="25" t="inlineStr">
        <is>
          <t>По решению команды убрать отдельный вопрос про уровень шума; проблема сохранена вариантом в Q88.</t>
        </is>
      </c>
      <c r="E27" s="25" t="inlineStr">
        <is>
          <t>Удалить из основной офисной анкеты</t>
        </is>
      </c>
    </row>
    <row r="28" ht="45" customHeight="1">
      <c r="A28" s="25" t="n">
        <v>76</v>
      </c>
      <c r="B28" s="25" t="inlineStr">
        <is>
          <t>Условия</t>
        </is>
      </c>
      <c r="C28" s="25" t="inlineStr">
        <is>
          <t>Необходима ли вам в офисе оборудованная кофе-зона (холодильник, чайник, кофемашина, чай, кофе и т. д.)?</t>
        </is>
      </c>
      <c r="D28" s="25" t="inlineStr">
        <is>
          <t>Отдельный вопрос про кофе-зону дублирует приоритеты Q88.</t>
        </is>
      </c>
      <c r="E28" s="25" t="inlineStr">
        <is>
          <t>Удалить из основной офисной анкеты</t>
        </is>
      </c>
    </row>
    <row r="29" ht="45" customHeight="1">
      <c r="A29" s="25" t="n">
        <v>77</v>
      </c>
      <c r="B29" s="25" t="inlineStr">
        <is>
          <t>Условия</t>
        </is>
      </c>
      <c r="C29" s="25" t="inlineStr">
        <is>
          <t>Необходим ли вам в офисе автомат/вендинговый холодильник с готовой едой (например, «Милти»)?</t>
        </is>
      </c>
      <c r="D29" s="25" t="inlineStr">
        <is>
          <t>Отдельный вопрос про готовую еду дублирует приоритеты Q88.</t>
        </is>
      </c>
      <c r="E29" s="25" t="inlineStr">
        <is>
          <t>Удалить из основной офисной анкеты</t>
        </is>
      </c>
    </row>
    <row r="30" ht="45" customHeight="1">
      <c r="A30" s="25" t="n">
        <v>78</v>
      </c>
      <c r="B30" s="25" t="inlineStr">
        <is>
          <t>Условия</t>
        </is>
      </c>
      <c r="C30" s="25" t="inlineStr">
        <is>
          <t>Необходима ли вам на территории офиса оборудованная зона отдыха на улице?</t>
        </is>
      </c>
      <c r="D30" s="25" t="inlineStr">
        <is>
          <t>Отдельный вопрос про зону отдыха дублирует приоритеты Q88.</t>
        </is>
      </c>
      <c r="E30" s="25" t="inlineStr">
        <is>
          <t>Удалить из основной офисной анкеты</t>
        </is>
      </c>
    </row>
    <row r="31" ht="45" customHeight="1">
      <c r="A31" s="25" t="n">
        <v>90</v>
      </c>
      <c r="B31" s="25" t="inlineStr">
        <is>
          <t>Самочувствие и благополучие</t>
        </is>
      </c>
      <c r="C31" s="25" t="inlineStr">
        <is>
          <t>Как часто в течение последних 4 недель вы испытывали тревогу или беспокойство?</t>
        </is>
      </c>
      <c r="D31" s="25" t="inlineStr">
        <is>
          <t>По решению команды убрать вопрос про тревогу/беспокойство.</t>
        </is>
      </c>
      <c r="E31" s="25" t="inlineStr">
        <is>
          <t>Удалить из основной офисной анкеты</t>
        </is>
      </c>
    </row>
    <row r="32" ht="45" customHeight="1">
      <c r="A32" s="25" t="n">
        <v>92</v>
      </c>
      <c r="B32" s="25" t="inlineStr">
        <is>
          <t>Самочувствие и благополучие</t>
        </is>
      </c>
      <c r="C32" s="25" t="inlineStr">
        <is>
          <t>Мне обычно хватает энергии для нормальной работы в течение рабочего дня.</t>
        </is>
      </c>
      <c r="D32" s="25" t="inlineStr">
        <is>
          <t>Пересекается с эмоциональным истощением и восстановлением.</t>
        </is>
      </c>
      <c r="E32" s="25" t="inlineStr">
        <is>
          <t>Удалить из основной офисной анкеты</t>
        </is>
      </c>
    </row>
    <row r="33" ht="45" customHeight="1">
      <c r="A33" s="25" t="n">
        <v>93</v>
      </c>
      <c r="B33" s="25" t="inlineStr">
        <is>
          <t>Самочувствие и благополучие</t>
        </is>
      </c>
      <c r="C33" s="25" t="inlineStr">
        <is>
          <t>Как часто в течение последних 4 недель вы чувствовали сильное психологическое напряжение?</t>
        </is>
      </c>
      <c r="D33" s="25" t="inlineStr">
        <is>
          <t>Пересекается с общим самочувствием и эмоциональным истощением.</t>
        </is>
      </c>
      <c r="E33" s="25" t="inlineStr">
        <is>
          <t>Удалить из основной офисной анкеты</t>
        </is>
      </c>
    </row>
    <row r="34" ht="45" customHeight="1">
      <c r="A34" s="25" t="n">
        <v>98</v>
      </c>
      <c r="B34" s="25" t="inlineStr">
        <is>
          <t>Самочувствие и благополучие</t>
        </is>
      </c>
      <c r="C34" s="25" t="inlineStr">
        <is>
          <t>Что в организации работы или рабочей среде сейчас сильнее всего влияет на ваше самочувствие?</t>
        </is>
      </c>
      <c r="D34" s="25" t="inlineStr">
        <is>
          <t>Открытый дубль диагностического Q97; оставлен вопрос Q99 о возможных улучшениях.</t>
        </is>
      </c>
      <c r="E34" s="25" t="inlineStr">
        <is>
          <t>Удалить из основной офисной анкеты</t>
        </is>
      </c>
    </row>
    <row r="35" ht="45" customHeight="1">
      <c r="A35" s="25" t="n">
        <v>101</v>
      </c>
      <c r="B35" s="25" t="inlineStr">
        <is>
          <t>Гордость за компанию</t>
        </is>
      </c>
      <c r="C35" s="25" t="inlineStr">
        <is>
          <t>Я считаю, что компания положительно воспринимается людьми за её пределами.</t>
        </is>
      </c>
      <c r="D35" s="25" t="inlineStr">
        <is>
          <t>Сотрудник не всегда может объективно оценить внешнюю репутацию работодателя.</t>
        </is>
      </c>
      <c r="E35" s="25" t="inlineStr">
        <is>
          <t>Удалить из основной офисной анкеты</t>
        </is>
      </c>
    </row>
    <row r="36" ht="45" customHeight="1">
      <c r="A36" s="25" t="n">
        <v>104</v>
      </c>
      <c r="B36" s="25" t="inlineStr">
        <is>
          <t>Гордость за компанию</t>
        </is>
      </c>
      <c r="C36" s="25" t="inlineStr">
        <is>
          <t>Что является главной сильной стороной компании, которую точно нужно сохранить?</t>
        </is>
      </c>
      <c r="D36" s="25" t="inlineStr">
        <is>
          <t>Дублирует Q102 и структурированный Q103 о сильных сторонах.</t>
        </is>
      </c>
      <c r="E36" s="25" t="inlineStr">
        <is>
          <t>Удалить из основной офисной анкеты</t>
        </is>
      </c>
    </row>
    <row r="37" ht="45" customHeight="1">
      <c r="A37" s="25" t="n">
        <v>108</v>
      </c>
      <c r="B37" s="25" t="inlineStr">
        <is>
          <t>Насколько человеку подходит компания</t>
        </is>
      </c>
      <c r="C37" s="25" t="inlineStr">
        <is>
          <t>Что в культуре или стиле работы компании вам подходит особенно хорошо, а что, наоборот, создаёт дискомфорт?</t>
        </is>
      </c>
      <c r="D37" s="25" t="inlineStr">
        <is>
          <t>Открытый дубль трёх шкальных вопросов и Q110.</t>
        </is>
      </c>
      <c r="E37" s="25" t="inlineStr">
        <is>
          <t>Удалить из основной офисной анкеты</t>
        </is>
      </c>
    </row>
    <row r="38" ht="45" customHeight="1">
      <c r="A38" s="25" t="n">
        <v>109</v>
      </c>
      <c r="B38" s="25" t="inlineStr">
        <is>
          <t>Насколько человеку подходит компания</t>
        </is>
      </c>
      <c r="C38" s="25" t="inlineStr">
        <is>
          <t>Что вы бы предложили изменить?</t>
        </is>
      </c>
      <c r="D38" s="25" t="inlineStr">
        <is>
          <t>Открытый дубль финального вопроса о необходимых изменениях.</t>
        </is>
      </c>
      <c r="E38" s="25" t="inlineStr">
        <is>
          <t>Удалить из основной офисной анкеты</t>
        </is>
      </c>
    </row>
    <row r="39" ht="45" customHeight="1">
      <c r="A39" s="25" t="n">
        <v>111</v>
      </c>
      <c r="B39" s="25" t="inlineStr">
        <is>
          <t>Результат</t>
        </is>
      </c>
      <c r="C39" s="25" t="inlineStr">
        <is>
          <t>Чего вам сегодня не хватает, чтобы показывать максимальный результат?</t>
        </is>
      </c>
      <c r="D39" s="25" t="inlineStr">
        <is>
          <t>Слишком общий вопрос; барьеры результативности уже измеряются в нескольких конкретных блоках.</t>
        </is>
      </c>
      <c r="E39" s="25" t="inlineStr">
        <is>
          <t>Удалить из основной офисной анкеты</t>
        </is>
      </c>
    </row>
    <row r="40" ht="45" customHeight="1">
      <c r="A40" s="25" t="n">
        <v>112</v>
      </c>
      <c r="B40" s="25" t="inlineStr">
        <is>
          <t>Другие работодатели</t>
        </is>
      </c>
      <c r="C40" s="25" t="inlineStr">
        <is>
          <t>Если вы раньше работали в других компаниях, что там было организовано лучше, чем в «Дымов»?</t>
        </is>
      </c>
      <c r="D40" s="25" t="inlineStr">
        <is>
          <t>Весь блок «Другие работодатели» исключён из основной анкеты.</t>
        </is>
      </c>
      <c r="E40" s="25" t="inlineStr">
        <is>
          <t>Удалить из основной офисной анкеты</t>
        </is>
      </c>
    </row>
    <row r="41" ht="45" customHeight="1">
      <c r="A41" s="25" t="n">
        <v>113</v>
      </c>
      <c r="B41" s="25" t="inlineStr">
        <is>
          <t>Другие работодатели</t>
        </is>
      </c>
      <c r="C41" s="25" t="inlineStr">
        <is>
          <t>Какую одну практику предыдущего работодателя вы бы предложили внедрить в «Дымов»?</t>
        </is>
      </c>
      <c r="D41" s="25" t="inlineStr">
        <is>
          <t>Весь блок «Другие работодатели» исключён из основной анкеты.</t>
        </is>
      </c>
      <c r="E41" s="25" t="inlineStr">
        <is>
          <t>Удалить из основной офисной анкеты</t>
        </is>
      </c>
    </row>
    <row r="42" ht="45" customHeight="1">
      <c r="A42" s="25" t="n">
        <v>119</v>
      </c>
      <c r="B42" s="25" t="inlineStr">
        <is>
          <t>Вознаграждение</t>
        </is>
      </c>
      <c r="C42" s="25" t="inlineStr">
        <is>
          <t>Что в системе вознаграждения, на ваш взгляд, стоит изменить в первую очередь?</t>
        </is>
      </c>
      <c r="D42" s="25" t="inlineStr">
        <is>
          <t>Открытый дубль структурированного Q118 и финального вопроса.</t>
        </is>
      </c>
      <c r="E42" s="25" t="inlineStr">
        <is>
          <t>Удалить из основной офисной анкеты</t>
        </is>
      </c>
    </row>
    <row r="43" ht="45" customHeight="1">
      <c r="A43" s="25" t="n">
        <v>127</v>
      </c>
      <c r="B43" s="25" t="inlineStr">
        <is>
          <t>Развитие</t>
        </is>
      </c>
      <c r="C43" s="25" t="inlineStr">
        <is>
          <t>Что нового вы хотели бы видеть в условиях работы и жизни сотрудников компании?</t>
        </is>
      </c>
      <c r="D43" s="25" t="inlineStr">
        <is>
          <t>Общий wishlist дублирует финальный Q128 с приоритизацией изменений.</t>
        </is>
      </c>
      <c r="E43" s="25" t="inlineStr">
        <is>
          <t>Удалить из основной офисной анкеты</t>
        </is>
      </c>
    </row>
    <row r="44">
      <c r="A44" s="25" t="inlineStr">
        <is>
          <t>AI-04</t>
        </is>
      </c>
      <c r="B44" s="25" t="inlineStr">
        <is>
          <t>Эффективность / ИИ и рабочие инструменты</t>
        </is>
      </c>
      <c r="C44" s="25" t="inlineStr">
        <is>
          <t>Как вы используете ИИ в своей работе?</t>
        </is>
      </c>
      <c r="D44" s="25" t="inlineStr">
        <is>
          <t>Слишком общий открытый вопрос; более содержательный вопрос о конкретных рабочих задачах и пользе ИИ остаётся.</t>
        </is>
      </c>
      <c r="E44" s="25" t="inlineStr">
        <is>
          <t>Удалить, чтобы финальная структура содержала ровно 100 вопросов</t>
        </is>
      </c>
    </row>
  </sheetData>
  <autoFilter ref="A3:E43"/>
  <mergeCells count="1">
    <mergeCell ref="A1:E1"/>
  </mergeCells>
  <pageMargins left="0.25" right="0.25" top="0.5" bottom="0.5" header="0.5" footer="0.5"/>
  <pageSetup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2026-08-27T07:48:02Z</dcterms:created>
  <dcterms:modified xmlns:dcterms="http://purl.org/dc/terms/" xmlns:xsi="http://www.w3.org/2001/XMLSchema-instance" xsi:type="dcterms:W3CDTF">2026-08-27T12:45:55Z</dcterms:modified>
</cp:coreProperties>
</file>